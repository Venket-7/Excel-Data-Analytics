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32D2D186-0812-4332-B6CA-24E38320B3FD}" xr6:coauthVersionLast="47" xr6:coauthVersionMax="47" xr10:uidLastSave="{00000000-0000-0000-0000-000000000000}"/>
  <bookViews>
    <workbookView xWindow="-108" yWindow="-108" windowWidth="23256" windowHeight="12456" tabRatio="376" xr2:uid="{F8420BDF-C08E-4FBB-891B-F574F63AC6D0}"/>
  </bookViews>
  <sheets>
    <sheet name="Processed Data" sheetId="1" r:id="rId1"/>
    <sheet name="Pivot Table" sheetId="4" r:id="rId2"/>
    <sheet name="Dashboard" sheetId="5" r:id="rId3"/>
  </sheets>
  <definedNames>
    <definedName name="Slicer_Item_Type">#N/A</definedName>
    <definedName name="Slicer_Outlet_Location_Type">#N/A</definedName>
    <definedName name="Slicer_Outlet_Size">#N/A</definedName>
  </definedNames>
  <calcPr calcId="191029"/>
  <pivotCaches>
    <pivotCache cacheId="3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4" l="1"/>
  <c r="D6" i="4"/>
  <c r="C6" i="4"/>
  <c r="B6" i="4"/>
  <c r="L17" i="1"/>
  <c r="L2" i="1"/>
</calcChain>
</file>

<file path=xl/sharedStrings.xml><?xml version="1.0" encoding="utf-8"?>
<sst xmlns="http://schemas.openxmlformats.org/spreadsheetml/2006/main" count="59795" uniqueCount="1630">
  <si>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</si>
  <si>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</si>
  <si>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</si>
  <si>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</si>
  <si>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</si>
  <si>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</si>
  <si>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</si>
  <si>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</si>
  <si>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</si>
  <si>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</si>
  <si>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</si>
  <si>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</si>
  <si>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</si>
  <si>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</si>
  <si>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</si>
  <si>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</si>
  <si>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</si>
  <si>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</si>
  <si>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</si>
  <si>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</si>
  <si>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</si>
  <si>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</si>
  <si>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</si>
  <si>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</si>
  <si>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</si>
  <si>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</si>
  <si>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</si>
  <si>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</si>
  <si>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</si>
  <si>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</si>
  <si>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</si>
  <si>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</si>
  <si>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</si>
  <si>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</si>
  <si>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</si>
  <si>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</si>
  <si>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</si>
  <si>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</si>
  <si>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</si>
  <si>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</si>
  <si>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</si>
  <si>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</si>
  <si>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</si>
  <si>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</si>
  <si>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</si>
  <si>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</si>
  <si>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</si>
  <si>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</si>
  <si>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</si>
  <si>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</si>
  <si>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</si>
  <si>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</si>
  <si>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</si>
  <si>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</si>
  <si>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</si>
  <si>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</si>
  <si>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</si>
  <si>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</si>
  <si>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</si>
  <si>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</si>
  <si>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</si>
  <si>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</si>
  <si>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</si>
  <si>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</si>
  <si>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</si>
  <si>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</si>
  <si>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</si>
  <si>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</si>
  <si>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</si>
  <si>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</si>
  <si>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</si>
  <si>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</si>
  <si>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</si>
  <si>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</si>
  <si>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</si>
  <si>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</si>
  <si>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</si>
  <si>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</si>
  <si>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</si>
  <si>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</si>
  <si>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</si>
  <si>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</si>
  <si>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</si>
  <si>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</si>
  <si>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</si>
  <si>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</si>
  <si>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</si>
  <si>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</si>
  <si>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</si>
  <si>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</si>
  <si>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</si>
  <si>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</si>
  <si>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</si>
  <si>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</si>
  <si>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</si>
  <si>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</si>
  <si>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</si>
  <si>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</si>
  <si>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</si>
  <si>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</si>
  <si>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</si>
  <si>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</si>
  <si>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</si>
  <si>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</si>
  <si>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</si>
  <si>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</si>
  <si>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</si>
  <si>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</si>
  <si>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</si>
  <si>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</si>
  <si>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</si>
  <si>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</si>
  <si>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</si>
  <si>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</si>
  <si>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</si>
  <si>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</si>
  <si>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</si>
  <si>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</si>
  <si>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</si>
  <si>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</si>
  <si>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</si>
  <si>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</si>
  <si>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</si>
  <si>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</si>
  <si>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</si>
  <si>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</si>
  <si>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</si>
  <si>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</si>
  <si>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</si>
  <si>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</si>
  <si>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</si>
  <si>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</si>
  <si>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</si>
  <si>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</si>
  <si>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</si>
  <si>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</si>
  <si>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</si>
  <si>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</si>
  <si>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</si>
  <si>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</si>
  <si>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</si>
  <si>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</si>
  <si>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</si>
  <si>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</si>
  <si>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</si>
  <si>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</si>
  <si>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</si>
  <si>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</si>
  <si>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</si>
  <si>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</si>
  <si>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</si>
  <si>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</si>
  <si>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</si>
  <si>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</si>
  <si>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</si>
  <si>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</si>
  <si>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</si>
  <si>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</si>
  <si>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</si>
  <si>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</si>
  <si>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</si>
  <si>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</si>
  <si>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</si>
  <si>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</si>
  <si>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</si>
  <si>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</si>
  <si>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</si>
  <si>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</si>
  <si>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</si>
  <si>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</si>
  <si>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</si>
  <si>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</si>
  <si>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</si>
  <si>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</si>
  <si>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</si>
  <si>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</si>
  <si>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</si>
  <si>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</si>
  <si>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</si>
  <si>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</si>
  <si>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</si>
  <si>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</si>
  <si>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</si>
  <si>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</si>
  <si>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</si>
  <si>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</si>
  <si>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</si>
  <si>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</si>
  <si>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</si>
  <si>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</si>
  <si>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</si>
  <si>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</si>
  <si>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</si>
  <si>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</si>
  <si>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</si>
  <si>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</si>
  <si>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</si>
  <si>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</si>
  <si>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</si>
  <si>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</si>
  <si>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</si>
  <si>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</si>
  <si>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</si>
  <si>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</si>
  <si>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</si>
  <si>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</si>
  <si>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</si>
  <si>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</si>
  <si>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</si>
  <si>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</si>
  <si>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</si>
  <si>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</si>
  <si>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</si>
  <si>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</si>
  <si>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</si>
  <si>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</si>
  <si>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</si>
  <si>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</si>
  <si>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</si>
  <si>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</si>
  <si>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</si>
  <si>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</si>
  <si>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</si>
  <si>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</si>
  <si>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</si>
  <si>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</si>
  <si>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</si>
  <si>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</si>
  <si>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</si>
  <si>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</si>
  <si>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</si>
  <si>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</si>
  <si>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</si>
  <si>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</si>
  <si>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</si>
  <si>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</si>
  <si>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</si>
  <si>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</si>
  <si>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</si>
  <si>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</si>
  <si>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</si>
  <si>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</si>
  <si>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</si>
  <si>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</si>
  <si>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</si>
  <si>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</si>
  <si>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</si>
  <si>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</si>
  <si>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</si>
  <si>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</si>
  <si>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</si>
  <si>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</si>
  <si>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</si>
  <si>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</si>
  <si>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</si>
  <si>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</si>
  <si>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</si>
  <si>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</si>
  <si>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</si>
  <si>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</si>
  <si>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</si>
  <si>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</si>
  <si>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</si>
  <si>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</si>
  <si>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</si>
  <si>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</si>
  <si>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</si>
  <si>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</si>
  <si>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</si>
  <si>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</si>
  <si>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</si>
  <si>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</si>
  <si>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</si>
  <si>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</si>
  <si>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</si>
  <si>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</si>
  <si>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</si>
  <si>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</si>
  <si>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</si>
  <si>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</si>
  <si>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</si>
  <si>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</si>
  <si>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</si>
  <si>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</si>
  <si>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</si>
  <si>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</si>
  <si>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</si>
  <si>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</si>
  <si>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</si>
  <si>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</si>
  <si>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</si>
  <si>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</si>
  <si>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</si>
  <si>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</si>
  <si>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</si>
  <si>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</si>
  <si>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</si>
  <si>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</si>
  <si>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</si>
  <si>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</si>
  <si>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</si>
  <si>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</si>
  <si>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</si>
  <si>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</si>
  <si>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</si>
  <si>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</si>
  <si>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</si>
  <si>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</si>
  <si>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</si>
  <si>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</si>
  <si>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</si>
  <si>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</si>
  <si>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</si>
  <si>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</si>
  <si>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</si>
  <si>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</si>
  <si>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</si>
  <si>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</si>
  <si>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</si>
  <si>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</si>
  <si>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</si>
  <si>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</si>
  <si>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</si>
  <si>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</si>
  <si>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</si>
  <si>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</si>
  <si>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</si>
  <si>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</si>
  <si>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</si>
  <si>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</si>
  <si>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</si>
  <si>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</si>
  <si>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</si>
  <si>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</si>
  <si>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</si>
  <si>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</si>
  <si>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</si>
  <si>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</si>
  <si>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</si>
  <si>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</si>
  <si>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</si>
  <si>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</si>
  <si>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</si>
  <si>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</si>
  <si>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</si>
  <si>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</si>
  <si>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</si>
  <si>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</si>
  <si>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</si>
  <si>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</si>
  <si>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</si>
  <si>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</si>
  <si>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</si>
  <si>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</si>
  <si>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</si>
  <si>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</si>
  <si>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</si>
  <si>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</si>
  <si>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</si>
  <si>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</si>
  <si>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</si>
  <si>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</si>
  <si>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</si>
  <si>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</si>
  <si>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</si>
  <si>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</si>
  <si>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</si>
  <si>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</si>
  <si>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</si>
  <si>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</si>
  <si>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</si>
  <si>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</si>
  <si>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</si>
  <si>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</si>
  <si>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</si>
  <si>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</si>
  <si>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</si>
  <si>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</si>
  <si>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</si>
  <si>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</si>
  <si>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</si>
  <si>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</si>
  <si>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</si>
  <si>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</si>
  <si>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</si>
  <si>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</si>
  <si>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</si>
  <si>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</si>
  <si>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</si>
  <si>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</si>
  <si>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</si>
  <si>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</si>
  <si>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</si>
  <si>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</si>
  <si>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</si>
  <si>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</si>
  <si>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</si>
  <si>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</si>
  <si>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</si>
  <si>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</si>
  <si>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</si>
  <si>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</si>
  <si>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</si>
  <si>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</si>
  <si>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</si>
  <si>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</si>
  <si>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</si>
  <si>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</si>
  <si>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</si>
  <si>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</si>
  <si>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</si>
  <si>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</si>
  <si>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</si>
  <si>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</si>
  <si>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</si>
  <si>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</si>
  <si>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</si>
  <si>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</si>
  <si>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</si>
  <si>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</si>
  <si>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</si>
  <si>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</si>
  <si>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</si>
  <si>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</si>
  <si>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</si>
  <si>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</si>
  <si>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</si>
  <si>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</si>
  <si>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</si>
  <si>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</si>
  <si>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</si>
  <si>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</si>
  <si>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</si>
  <si>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</si>
  <si>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</si>
  <si>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</si>
  <si>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</si>
  <si>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</si>
  <si>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</si>
  <si>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</si>
  <si>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</si>
  <si>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</si>
  <si>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</si>
  <si>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</si>
  <si>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</si>
  <si>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</si>
  <si>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</si>
  <si>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</si>
  <si>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</si>
  <si>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</si>
  <si>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</si>
  <si>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</si>
  <si>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</si>
  <si>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</si>
  <si>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</si>
  <si>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</si>
  <si>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</si>
  <si>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</si>
  <si>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</si>
  <si>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</si>
  <si>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</si>
  <si>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</si>
  <si>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</si>
  <si>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</si>
  <si>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</si>
  <si>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</si>
  <si>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</si>
  <si>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</si>
  <si>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</si>
  <si>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</si>
  <si>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</si>
  <si>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</si>
  <si>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</si>
  <si>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</si>
  <si>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</si>
  <si>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</si>
  <si>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</si>
  <si>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</si>
  <si>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</si>
  <si>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</si>
  <si>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</si>
  <si>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</si>
  <si>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</si>
  <si>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</si>
  <si>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</si>
  <si>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</si>
  <si>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</si>
  <si>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</si>
  <si>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</si>
  <si>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</si>
  <si>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</si>
  <si>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</si>
  <si>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</si>
  <si>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</si>
  <si>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</si>
  <si>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</si>
  <si>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</si>
  <si>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</si>
  <si>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</si>
  <si>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</si>
  <si>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</si>
  <si>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</si>
  <si>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</si>
  <si>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</si>
  <si>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</si>
  <si>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</si>
  <si>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</si>
  <si>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</si>
  <si>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</si>
  <si>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</si>
  <si>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</si>
  <si>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</si>
  <si>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</si>
  <si>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</si>
  <si>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</si>
  <si>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</si>
  <si>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</si>
  <si>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</si>
  <si>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</si>
  <si>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</si>
  <si>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</si>
  <si>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</si>
  <si>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</si>
  <si>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</si>
  <si>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</si>
  <si>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</si>
  <si>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</si>
  <si>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</si>
  <si>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</si>
  <si>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</si>
  <si>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</si>
  <si>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</si>
  <si>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</si>
  <si>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</si>
  <si>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</si>
  <si>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</si>
  <si>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</si>
  <si>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</si>
  <si>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</si>
  <si>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</si>
  <si>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</si>
  <si>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</si>
  <si>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</si>
  <si>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</si>
  <si>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</si>
  <si>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</si>
  <si>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</si>
  <si>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</si>
  <si>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</si>
  <si>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</si>
  <si>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</si>
  <si>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</si>
  <si>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</si>
  <si>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</si>
  <si>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</si>
  <si>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</si>
  <si>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</si>
  <si>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</si>
  <si>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</si>
  <si>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</si>
  <si>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</si>
  <si>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</si>
  <si>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</si>
  <si>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</si>
  <si>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</si>
  <si>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</si>
  <si>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</si>
  <si>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</si>
  <si>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</si>
  <si>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</si>
  <si>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</si>
  <si>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</si>
  <si>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</si>
  <si>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</si>
  <si>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</si>
  <si>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</si>
  <si>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</si>
  <si>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</si>
  <si>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</si>
  <si>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</si>
  <si>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</si>
  <si>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</si>
  <si>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</si>
  <si>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</si>
  <si>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</si>
  <si>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</si>
  <si>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</si>
  <si>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</si>
  <si>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</si>
  <si>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</si>
  <si>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</si>
  <si>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</si>
  <si>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</si>
  <si>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</si>
  <si>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</si>
  <si>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</si>
  <si>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</si>
  <si>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</si>
  <si>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</si>
  <si>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</si>
  <si>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</si>
  <si>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</si>
  <si>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</si>
  <si>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</si>
  <si>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</si>
  <si>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</si>
  <si>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</si>
  <si>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</si>
  <si>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</si>
  <si>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</si>
  <si>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</si>
  <si>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</si>
  <si>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</si>
  <si>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</si>
  <si>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</si>
  <si>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</si>
  <si>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</si>
  <si>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</si>
  <si>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</si>
  <si>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</si>
  <si>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</si>
  <si>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</si>
  <si>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</si>
  <si>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</si>
  <si>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</si>
  <si>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</si>
  <si>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</si>
  <si>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</si>
  <si>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</si>
  <si>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</si>
  <si>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</si>
  <si>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</si>
  <si>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</si>
  <si>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</si>
  <si>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</si>
  <si>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</si>
  <si>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</si>
  <si>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</si>
  <si>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</si>
  <si>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</si>
  <si>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</si>
  <si>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</si>
  <si>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</si>
  <si>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</si>
  <si>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</si>
  <si>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</si>
  <si>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</si>
  <si>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</si>
  <si>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</si>
  <si>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</si>
  <si>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</si>
  <si>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</si>
  <si>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</si>
  <si>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</si>
  <si>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</si>
  <si>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</si>
  <si>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</si>
  <si>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</si>
  <si>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</si>
  <si>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</si>
  <si>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</si>
  <si>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</si>
  <si>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</si>
  <si>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</si>
  <si>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</si>
  <si>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</si>
  <si>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</si>
  <si>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</si>
  <si>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</si>
  <si>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</si>
  <si>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</si>
  <si>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</si>
  <si>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</si>
  <si>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</si>
  <si>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</si>
  <si>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</si>
  <si>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</si>
  <si>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</si>
  <si>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</si>
  <si>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</si>
  <si>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</si>
  <si>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</si>
  <si>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</si>
  <si>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</si>
  <si>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</si>
  <si>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</si>
  <si>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</si>
  <si>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</si>
  <si>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</si>
  <si>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</si>
  <si>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</si>
  <si>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</si>
  <si>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</si>
  <si>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</si>
  <si>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</si>
  <si>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</si>
  <si>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</si>
  <si>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</si>
  <si>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</si>
  <si>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</si>
  <si>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</si>
  <si>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</si>
  <si>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</si>
  <si>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</si>
  <si>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</si>
  <si>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</si>
  <si>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</si>
  <si>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</si>
  <si>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</si>
  <si>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</si>
  <si>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</si>
  <si>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</si>
  <si>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</si>
  <si>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</si>
  <si>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</si>
  <si>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</si>
  <si>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</si>
  <si>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</si>
  <si>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</si>
  <si>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</si>
  <si>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</si>
  <si>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</si>
  <si>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</si>
  <si>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</si>
  <si>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</si>
  <si>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</si>
  <si>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</si>
  <si>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</si>
  <si>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</si>
  <si>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</si>
  <si>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</si>
  <si>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</si>
  <si>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</si>
  <si>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</si>
  <si>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</si>
  <si>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</si>
  <si>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</si>
  <si>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</si>
  <si>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</si>
  <si>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</si>
  <si>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</si>
  <si>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</si>
  <si>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</si>
  <si>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</si>
  <si>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</si>
  <si>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</si>
  <si>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</si>
  <si>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</si>
  <si>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</si>
  <si>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</si>
  <si>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</si>
  <si>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</si>
  <si>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</si>
  <si>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</si>
  <si>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</si>
  <si>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</si>
  <si>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</si>
  <si>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</si>
  <si>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</si>
  <si>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</si>
  <si>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</si>
  <si>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</si>
  <si>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</si>
  <si>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</si>
  <si>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</si>
  <si>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</si>
  <si>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</si>
  <si>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</si>
  <si>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</si>
  <si>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</si>
  <si>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</si>
  <si>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</si>
  <si>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</si>
  <si>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</si>
  <si>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</si>
  <si>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</si>
  <si>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</si>
  <si>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</si>
  <si>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</si>
  <si>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</si>
  <si>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</si>
  <si>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</si>
  <si>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</si>
  <si>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</si>
  <si>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</si>
  <si>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</si>
  <si>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</si>
  <si>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</si>
  <si>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</si>
  <si>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</si>
  <si>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</si>
  <si>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</si>
  <si>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</si>
  <si>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</si>
  <si>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</si>
  <si>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</si>
  <si>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</si>
  <si>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</si>
  <si>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</si>
  <si>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</si>
  <si>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</si>
  <si>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</si>
  <si>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</si>
  <si>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</si>
  <si>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</si>
  <si>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</si>
  <si>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</si>
  <si>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</si>
  <si>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</si>
  <si>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</si>
  <si>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</si>
  <si>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</si>
  <si>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</si>
  <si>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</si>
  <si>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</si>
  <si>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</si>
  <si>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</si>
  <si>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</si>
  <si>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</si>
  <si>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</si>
  <si>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</si>
  <si>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</si>
  <si>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</si>
  <si>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</si>
  <si>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</si>
  <si>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</si>
  <si>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</si>
  <si>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</si>
  <si>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</si>
  <si>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</si>
  <si>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</si>
  <si>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</si>
  <si>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</si>
  <si>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</si>
  <si>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</si>
  <si>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</si>
  <si>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</si>
  <si>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</si>
  <si>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</si>
  <si>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</si>
  <si>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</si>
  <si>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</si>
  <si>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</si>
  <si>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</si>
  <si>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</si>
  <si>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</si>
  <si>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</si>
  <si>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</si>
  <si>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</si>
  <si>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</si>
  <si>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</si>
  <si>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</si>
  <si>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</si>
  <si>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</si>
  <si>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</si>
  <si>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</si>
  <si>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</si>
  <si>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</si>
  <si>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</si>
  <si>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</si>
  <si>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</si>
  <si>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</si>
  <si>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</si>
  <si>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</si>
  <si>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</si>
  <si>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</si>
  <si>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</si>
  <si>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</si>
  <si>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</si>
  <si>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</si>
  <si>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</si>
  <si>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</si>
  <si>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</si>
  <si>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</si>
  <si>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</si>
  <si>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</si>
  <si>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</si>
  <si>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</si>
  <si>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</si>
  <si>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</si>
  <si>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</si>
  <si>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</si>
  <si>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</si>
  <si>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</si>
  <si>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</si>
  <si>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</si>
  <si>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</si>
  <si>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</si>
  <si>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</si>
  <si>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</si>
  <si>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</si>
  <si>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</si>
  <si>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</si>
  <si>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</si>
  <si>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</si>
  <si>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</si>
  <si>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</si>
  <si>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</si>
  <si>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</si>
  <si>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</si>
  <si>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</si>
  <si>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</si>
  <si>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</si>
  <si>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</si>
  <si>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</si>
  <si>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</si>
  <si>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</si>
  <si>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</si>
  <si>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</si>
  <si>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</si>
  <si>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</si>
  <si>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</si>
  <si>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</si>
  <si>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</si>
  <si>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</si>
  <si>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</si>
  <si>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</si>
  <si>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</si>
  <si>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</si>
  <si>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</si>
  <si>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</si>
  <si>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</si>
  <si>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</si>
  <si>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</si>
  <si>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</si>
  <si>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</si>
  <si>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</si>
  <si>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</si>
  <si>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</si>
  <si>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</si>
  <si>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</si>
  <si>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</si>
  <si>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</si>
  <si>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</si>
  <si>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</si>
  <si>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</si>
  <si>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</si>
  <si>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</si>
  <si>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</si>
  <si>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</si>
  <si>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</si>
  <si>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</si>
  <si>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</si>
  <si>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</si>
  <si>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</si>
  <si>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</si>
  <si>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</si>
  <si>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</si>
  <si>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</si>
  <si>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</si>
  <si>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</si>
  <si>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</si>
  <si>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</si>
  <si>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</si>
  <si>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</si>
  <si>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</si>
  <si>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</si>
  <si>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</si>
  <si>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</si>
  <si>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</si>
  <si>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</si>
  <si>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</si>
  <si>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</si>
  <si>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</si>
  <si>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</si>
  <si>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</si>
  <si>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</si>
  <si>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</si>
  <si>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</si>
  <si>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</si>
  <si>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</si>
  <si>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</si>
  <si>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</si>
  <si>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</si>
  <si>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</si>
  <si>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</si>
  <si>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</si>
  <si>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</si>
  <si>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</si>
  <si>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</si>
  <si>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</si>
  <si>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</si>
  <si>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</si>
  <si>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</si>
  <si>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</si>
  <si>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</si>
  <si>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</si>
  <si>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</si>
  <si>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</si>
  <si>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</si>
  <si>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</si>
  <si>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</si>
  <si>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</si>
  <si>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</si>
  <si>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</si>
  <si>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</si>
  <si>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</si>
  <si>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</si>
  <si>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</si>
  <si>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</si>
  <si>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</si>
  <si>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</si>
  <si>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</si>
  <si>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</si>
  <si>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</si>
  <si>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</si>
  <si>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</si>
  <si>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</si>
  <si>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</si>
  <si>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</si>
  <si>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</si>
  <si>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</si>
  <si>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</si>
  <si>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</si>
  <si>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</si>
  <si>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</si>
  <si>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</si>
  <si>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</si>
  <si>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</si>
  <si>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</si>
  <si>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</si>
  <si>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</si>
  <si>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</si>
  <si>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</si>
  <si>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</si>
  <si>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</si>
  <si>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</si>
  <si>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</si>
  <si>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</si>
  <si>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</si>
  <si>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</si>
  <si>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</si>
  <si>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</si>
  <si>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</si>
  <si>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</si>
  <si>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</si>
  <si>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</si>
  <si>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</si>
  <si>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</si>
  <si>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</si>
  <si>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</si>
  <si>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</si>
  <si>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</si>
  <si>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</si>
  <si>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</si>
  <si>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</si>
  <si>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</si>
  <si>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</si>
  <si>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</si>
  <si>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</si>
  <si>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</si>
  <si>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</si>
  <si>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</si>
  <si>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</si>
  <si>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</si>
  <si>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</si>
  <si>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</si>
  <si>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</si>
  <si>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</si>
  <si>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</si>
  <si>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</si>
  <si>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</si>
  <si>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</si>
  <si>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</si>
  <si>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</si>
  <si>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</si>
  <si>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</si>
  <si>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</si>
  <si>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</si>
  <si>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</si>
  <si>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</si>
  <si>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</si>
  <si>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</si>
  <si>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</si>
  <si>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</si>
  <si>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</si>
  <si>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</si>
  <si>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</si>
  <si>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</si>
  <si>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</si>
  <si>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</si>
  <si>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</si>
  <si>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</si>
  <si>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</si>
  <si>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</si>
  <si>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</si>
  <si>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</si>
  <si>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</si>
  <si>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</si>
  <si>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</si>
  <si>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</si>
  <si>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</si>
  <si>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</si>
  <si>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</si>
  <si>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</si>
  <si>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</si>
  <si>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</si>
  <si>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</si>
  <si>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</si>
  <si>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</si>
  <si>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</si>
  <si>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</si>
  <si>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</si>
  <si>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</si>
  <si>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</si>
  <si>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</si>
  <si>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</si>
  <si>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</si>
  <si>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</si>
  <si>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</si>
  <si>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</si>
  <si>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</si>
  <si>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</si>
  <si>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</si>
  <si>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</si>
  <si>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</si>
  <si>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</si>
  <si>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</si>
  <si>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</si>
  <si>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</si>
  <si>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</si>
  <si>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</si>
  <si>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</si>
  <si>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</si>
  <si>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</si>
  <si>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</si>
  <si>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</si>
  <si>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</si>
  <si>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</si>
  <si>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</si>
  <si>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</si>
  <si>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</si>
  <si>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</si>
  <si>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</si>
  <si>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</si>
  <si>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</si>
  <si>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</si>
  <si>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</si>
  <si>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</si>
  <si>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</si>
  <si>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</si>
  <si>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</si>
  <si>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</si>
  <si>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</si>
  <si>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</si>
  <si>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</si>
  <si>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</si>
  <si>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</si>
  <si>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</si>
  <si>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</si>
  <si>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</si>
  <si>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</si>
  <si>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</si>
  <si>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</si>
  <si>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</si>
  <si>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</si>
  <si>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</si>
  <si>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</si>
  <si>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</si>
  <si>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</si>
  <si>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</si>
  <si>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</si>
  <si>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</si>
  <si>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</si>
  <si>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</si>
  <si>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</si>
  <si>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</si>
  <si>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</si>
  <si>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</si>
  <si>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</si>
  <si>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</si>
  <si>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</si>
  <si>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</si>
  <si>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</si>
  <si>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</si>
  <si>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</si>
  <si>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</si>
  <si>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</si>
  <si>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</si>
  <si>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</si>
  <si>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</si>
  <si>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</si>
  <si>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</si>
  <si>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</si>
  <si>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</si>
  <si>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</si>
  <si>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</si>
  <si>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</si>
  <si>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</si>
  <si>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</si>
  <si>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</si>
  <si>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</si>
  <si>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</si>
  <si>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</si>
  <si>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</si>
  <si>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</si>
  <si>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</si>
  <si>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</si>
  <si>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</si>
  <si>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</si>
  <si>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</si>
  <si>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</si>
  <si>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</si>
  <si>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</si>
  <si>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</si>
  <si>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</si>
  <si>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</si>
  <si>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</si>
  <si>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</si>
  <si>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</si>
  <si>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</si>
  <si>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</si>
  <si>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</si>
  <si>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</si>
  <si>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</si>
  <si>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</si>
  <si>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</si>
  <si>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</si>
  <si>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</si>
  <si>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</si>
  <si>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</si>
  <si>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</si>
  <si>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</si>
  <si>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</si>
  <si>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</si>
  <si>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</si>
  <si>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</si>
  <si>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</si>
  <si>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</si>
  <si>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</si>
  <si>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</si>
  <si>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</si>
  <si>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</si>
  <si>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</si>
  <si>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</si>
  <si>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</si>
  <si>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</si>
  <si>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</si>
  <si>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</si>
  <si>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</si>
  <si>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</si>
  <si>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</si>
  <si>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</si>
  <si>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</si>
  <si>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</si>
  <si>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</si>
  <si>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</si>
  <si>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</si>
  <si>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</si>
  <si>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</si>
  <si>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</si>
  <si>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</si>
  <si>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</si>
  <si>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</si>
  <si>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</si>
  <si>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</si>
  <si>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</si>
  <si>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</si>
  <si>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</si>
  <si>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</si>
  <si>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</si>
  <si>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</si>
  <si>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</si>
  <si>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</si>
  <si>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</si>
  <si>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</si>
  <si>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</si>
  <si>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</si>
  <si>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</si>
  <si>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</si>
  <si>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</si>
  <si>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</si>
  <si>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</si>
  <si>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</si>
  <si>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</si>
  <si>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</si>
  <si>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</si>
  <si>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</si>
  <si>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</si>
  <si>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</si>
  <si>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</si>
  <si>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</si>
  <si>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</si>
  <si>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</si>
  <si>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</si>
  <si>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</si>
  <si>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</si>
  <si>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</si>
  <si>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</si>
  <si>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</si>
  <si>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</si>
  <si>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</si>
  <si>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</si>
  <si>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</si>
  <si>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</si>
  <si>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</si>
  <si>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</si>
  <si>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</si>
  <si>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</si>
  <si>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</si>
  <si>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</si>
  <si>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</si>
  <si>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</si>
  <si>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</si>
  <si>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</si>
  <si>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</si>
  <si>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</si>
  <si>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</si>
  <si>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</si>
  <si>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</si>
  <si>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</si>
  <si>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</si>
  <si>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</si>
  <si>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</si>
  <si>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</si>
  <si>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</si>
  <si>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</si>
  <si>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</si>
  <si>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</si>
  <si>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</si>
  <si>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</si>
  <si>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</si>
  <si>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</si>
  <si>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</si>
  <si>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</si>
  <si>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</si>
  <si>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</si>
  <si>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</si>
  <si>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</si>
  <si>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</si>
  <si>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</si>
  <si>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</si>
  <si>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</si>
  <si>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</si>
  <si>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</si>
  <si>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</si>
  <si>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</si>
  <si>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</si>
  <si>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</si>
  <si>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</si>
  <si>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</si>
  <si>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</si>
  <si>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</si>
  <si>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</si>
  <si>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</si>
  <si>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</si>
  <si>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</si>
  <si>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</si>
  <si>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</si>
  <si>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</si>
  <si>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</si>
  <si>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</si>
  <si>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</si>
  <si>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</si>
  <si>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</si>
  <si>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</si>
  <si>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</si>
  <si>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</si>
  <si>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</si>
  <si>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</si>
  <si>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</si>
  <si>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</si>
  <si>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</si>
  <si>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</si>
  <si>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</si>
  <si>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</si>
  <si>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</si>
  <si>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</si>
  <si>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</si>
  <si>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</si>
  <si>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</si>
  <si>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</si>
  <si>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</si>
  <si>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</si>
  <si>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</si>
  <si>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</si>
  <si>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</si>
  <si>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</si>
  <si>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</si>
  <si>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</si>
  <si>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</si>
  <si>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</si>
  <si>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</si>
  <si>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</si>
  <si>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</si>
  <si>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</si>
  <si>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</si>
  <si>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</si>
  <si>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</si>
  <si>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</si>
  <si>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</si>
  <si>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</si>
  <si>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</si>
  <si>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</si>
  <si>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</si>
  <si>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</si>
  <si>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</si>
  <si>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</si>
  <si>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</si>
  <si>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</si>
  <si>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</si>
  <si>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</si>
  <si>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</si>
  <si>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</si>
  <si>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</si>
  <si>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</si>
  <si>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</si>
  <si>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</si>
  <si>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</si>
  <si>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</si>
  <si>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</si>
  <si>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</si>
  <si>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</si>
  <si>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</si>
  <si>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</si>
  <si>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</si>
  <si>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</si>
  <si>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</si>
  <si>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</si>
  <si>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</si>
  <si>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</si>
  <si>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</si>
  <si>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</si>
  <si>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</si>
  <si>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</si>
  <si>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</si>
  <si>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</si>
  <si>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</si>
  <si>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</si>
  <si>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</si>
  <si>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</si>
  <si>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</si>
  <si>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</si>
  <si>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</si>
  <si>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</si>
  <si>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</si>
  <si>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</si>
  <si>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</si>
  <si>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</si>
  <si>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</si>
  <si>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</si>
  <si>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</si>
  <si>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</si>
  <si>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</si>
  <si>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</si>
  <si>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</si>
  <si>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</si>
  <si>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</si>
  <si>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</si>
  <si>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</si>
  <si>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</si>
  <si>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</si>
  <si>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</si>
  <si>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</si>
  <si>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</si>
  <si>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</si>
  <si>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</si>
  <si>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</si>
  <si>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</si>
  <si>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</si>
  <si>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</si>
  <si>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</si>
  <si>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</si>
  <si>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</si>
  <si>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</si>
  <si>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</si>
  <si>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</si>
  <si>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</si>
  <si>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</si>
  <si>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</si>
  <si>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</si>
  <si>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</si>
  <si>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</si>
  <si>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</si>
  <si>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</si>
  <si>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</si>
  <si>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</si>
  <si>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</si>
  <si>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</si>
  <si>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</si>
  <si>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</si>
  <si>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</si>
  <si>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</si>
  <si>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</si>
  <si>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</si>
  <si>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</si>
  <si>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</si>
  <si>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</si>
  <si>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</si>
  <si>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</si>
  <si>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</si>
  <si>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</si>
  <si>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</si>
  <si>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</si>
  <si>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</si>
  <si>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</si>
  <si>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</si>
  <si>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</si>
  <si>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</si>
  <si>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</si>
  <si>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</si>
  <si>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</si>
  <si>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</si>
  <si>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</si>
  <si>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</si>
  <si>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</si>
  <si>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</si>
  <si>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</si>
  <si>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</si>
  <si>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</si>
  <si>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</si>
  <si>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</si>
  <si>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</si>
  <si>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</si>
  <si>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</si>
  <si>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</si>
  <si>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</si>
  <si>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</si>
  <si>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</si>
  <si>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</si>
  <si>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</si>
  <si>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</si>
  <si>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</si>
  <si>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</si>
  <si>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</si>
  <si>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</si>
  <si>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</si>
  <si>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</si>
  <si>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</si>
  <si>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</si>
  <si>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</si>
  <si>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</si>
  <si>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</si>
  <si>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</si>
  <si>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</si>
  <si>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</si>
  <si>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</si>
  <si>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</si>
  <si>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</si>
  <si>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</si>
  <si>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</si>
  <si>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</si>
  <si>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</si>
  <si>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</si>
  <si>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</si>
  <si>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</si>
  <si>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</si>
  <si>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</si>
  <si>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</si>
  <si>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</si>
  <si>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</si>
  <si>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</si>
  <si>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</si>
  <si>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</si>
  <si>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</si>
  <si>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</si>
  <si>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</si>
  <si>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</si>
  <si>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</si>
  <si>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</si>
  <si>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</si>
  <si>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</si>
  <si>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</si>
  <si>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</si>
  <si>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</si>
  <si>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</si>
  <si>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</si>
  <si>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</si>
  <si>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</si>
  <si>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</si>
  <si>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</si>
  <si>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</si>
  <si>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</si>
  <si>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</si>
  <si>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</si>
  <si>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</si>
  <si>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</si>
  <si>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</si>
  <si>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</si>
  <si>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</si>
  <si>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</si>
  <si>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</si>
  <si>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</si>
  <si>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</si>
  <si>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</si>
  <si>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</si>
  <si>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</si>
  <si>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</si>
  <si>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</si>
  <si>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</si>
  <si>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</si>
  <si>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</si>
  <si>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</si>
  <si>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</si>
  <si>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</si>
  <si>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</si>
  <si>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</si>
  <si>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</si>
  <si>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</si>
  <si>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</si>
  <si>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</si>
  <si>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</si>
  <si>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</si>
  <si>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</si>
  <si>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</si>
  <si>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</si>
  <si>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</si>
  <si>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</si>
  <si>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</si>
  <si>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</si>
  <si>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</si>
  <si>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</si>
  <si>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Row Labels</t>
  </si>
  <si>
    <t>Grand Total</t>
  </si>
  <si>
    <t>S.No</t>
  </si>
  <si>
    <t>Average Sales</t>
  </si>
  <si>
    <t>No.of Items</t>
  </si>
  <si>
    <t>Average of Rating</t>
  </si>
  <si>
    <t xml:space="preserve">KPI Requirements </t>
  </si>
  <si>
    <t>Sales by Item Type</t>
  </si>
  <si>
    <t>Outlet Performance</t>
  </si>
  <si>
    <t>Average of Sales</t>
  </si>
  <si>
    <t>Sales by Outlet Type</t>
  </si>
  <si>
    <t>Sales by Location</t>
  </si>
  <si>
    <t>Fat Content Analysis</t>
  </si>
  <si>
    <t>Outlet × Item Type</t>
  </si>
  <si>
    <t>Column Labels</t>
  </si>
  <si>
    <t>Total Sales by Outlet Establishment</t>
  </si>
  <si>
    <t>Sales by Outlet Size</t>
  </si>
  <si>
    <t>Sales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</si>
</sst>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8" formatCode="_ [$₹-4009]\ * #,##0.00_ ;_ [$₹-4009]\ * \-#,##0.00_ ;_ [$₹-4009]\ * &quot;-&quot;??_ ;_ @_ "/>
    <numFmt numFmtId="169" formatCode="_ [$₹-4009]\ * #,##0.0_ ;_ [$₹-4009]\ * \-#,##0.0_ ;_ [$₹-4009]\ * &quot;-&quot;??_ ;_ @_ "/>
    <numFmt numFmtId="170" formatCode="_ [$₹-4009]\ * #,##0_ ;_ [$₹-4009]\ * \-#,##0_ ;_ [$₹-4009]\ * &quot;-&quot;??_ ;_ @_ "/>
    <numFmt numFmtId="183" formatCode="\₹0.0,,&quot;M&quot;"/>
    <numFmt numFmtId="184" formatCode="\₹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Times New Roman"/>
      <family val="1"/>
    </font>
    <font>
      <sz val="16"/>
      <color theme="1"/>
      <name val="Times New Roman"/>
      <family val="1"/>
    </font>
    <font>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5">
    <xf numFmtId="0" fontId="0" fillId="0" borderId="0" xfId="0"/>
    <xf numFmtId="1" fontId="0" fillId="0" borderId="0" xfId="0" applyNumberFormat="1"/>
    <xf numFmtId="0" fontId="16" fillId="33" borderId="10" xfId="0" applyFont="1"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6" xfId="0" applyBorder="1"/>
    <xf numFmtId="164" fontId="0" fillId="0" borderId="16" xfId="0" applyNumberFormat="1" applyBorder="1"/>
    <xf numFmtId="0" fontId="16" fillId="33" borderId="17" xfId="0" applyFont="1" applyFill="1" applyBorder="1"/>
    <xf numFmtId="0" fontId="16" fillId="33" borderId="18" xfId="0" applyFont="1" applyFill="1" applyBorder="1"/>
    <xf numFmtId="168" fontId="0" fillId="0" borderId="15" xfId="0" applyNumberFormat="1" applyBorder="1"/>
    <xf numFmtId="170" fontId="0" fillId="0" borderId="0" xfId="0" applyNumberFormat="1" applyBorder="1"/>
    <xf numFmtId="0" fontId="0" fillId="0" borderId="19" xfId="0" applyBorder="1"/>
    <xf numFmtId="0" fontId="0" fillId="0" borderId="20" xfId="0" applyBorder="1"/>
    <xf numFmtId="0" fontId="0" fillId="0" borderId="21" xfId="0" applyBorder="1"/>
    <xf numFmtId="164" fontId="0" fillId="0" borderId="21" xfId="0" applyNumberFormat="1" applyBorder="1"/>
    <xf numFmtId="1" fontId="0" fillId="0" borderId="22" xfId="0" applyNumberFormat="1" applyBorder="1"/>
    <xf numFmtId="1" fontId="0" fillId="0" borderId="23" xfId="0" applyNumberFormat="1" applyBorder="1"/>
    <xf numFmtId="0" fontId="0" fillId="0" borderId="23" xfId="0" applyNumberFormat="1" applyBorder="1"/>
    <xf numFmtId="164" fontId="0" fillId="0" borderId="24" xfId="0" applyNumberFormat="1"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5" xfId="0" pivotButton="1" applyBorder="1"/>
    <xf numFmtId="0" fontId="0" fillId="0" borderId="27" xfId="0" applyBorder="1" applyAlignment="1">
      <alignment horizontal="left"/>
    </xf>
    <xf numFmtId="0" fontId="0" fillId="0" borderId="12" xfId="0" pivotButton="1" applyBorder="1"/>
    <xf numFmtId="0" fontId="0" fillId="0" borderId="15" xfId="0" applyBorder="1" applyAlignment="1">
      <alignment horizontal="left"/>
    </xf>
    <xf numFmtId="1" fontId="0" fillId="0" borderId="16" xfId="0" applyNumberFormat="1" applyBorder="1"/>
    <xf numFmtId="1" fontId="0" fillId="0" borderId="14" xfId="0" applyNumberFormat="1" applyBorder="1"/>
    <xf numFmtId="168" fontId="0" fillId="0" borderId="19" xfId="0" applyNumberFormat="1" applyBorder="1"/>
    <xf numFmtId="168" fontId="0" fillId="0" borderId="21" xfId="0" applyNumberFormat="1" applyBorder="1"/>
    <xf numFmtId="169" fontId="0" fillId="0" borderId="21" xfId="0" applyNumberFormat="1" applyBorder="1"/>
    <xf numFmtId="164" fontId="0" fillId="0" borderId="14" xfId="0" applyNumberFormat="1" applyBorder="1"/>
    <xf numFmtId="168" fontId="0" fillId="0" borderId="13" xfId="0" applyNumberFormat="1" applyBorder="1"/>
    <xf numFmtId="168" fontId="0" fillId="0" borderId="12" xfId="0" applyNumberFormat="1" applyBorder="1"/>
    <xf numFmtId="168" fontId="0" fillId="0" borderId="0" xfId="0" applyNumberFormat="1" applyBorder="1"/>
    <xf numFmtId="168" fontId="0" fillId="0" borderId="20" xfId="0" applyNumberFormat="1" applyBorder="1"/>
    <xf numFmtId="0" fontId="0" fillId="0" borderId="15" xfId="0" applyBorder="1" applyAlignment="1">
      <alignment horizontal="left" indent="1"/>
    </xf>
    <xf numFmtId="168" fontId="0" fillId="0" borderId="16" xfId="0" applyNumberFormat="1" applyBorder="1"/>
    <xf numFmtId="168" fontId="0" fillId="0" borderId="14" xfId="0" applyNumberFormat="1" applyBorder="1"/>
    <xf numFmtId="168" fontId="0" fillId="0" borderId="26" xfId="0" applyNumberFormat="1" applyBorder="1"/>
    <xf numFmtId="0" fontId="0" fillId="0" borderId="25" xfId="0" applyBorder="1" applyAlignment="1">
      <alignment horizontal="left"/>
    </xf>
    <xf numFmtId="0" fontId="0" fillId="0" borderId="11" xfId="0" applyBorder="1" applyAlignment="1">
      <alignment horizontal="left"/>
    </xf>
    <xf numFmtId="0" fontId="18" fillId="34" borderId="20" xfId="0" applyFont="1" applyFill="1" applyBorder="1"/>
    <xf numFmtId="0" fontId="18" fillId="34" borderId="12" xfId="0" applyFont="1" applyFill="1" applyBorder="1" applyAlignment="1">
      <alignment horizontal="center"/>
    </xf>
    <xf numFmtId="0" fontId="19" fillId="34" borderId="13" xfId="0" applyFont="1" applyFill="1" applyBorder="1" applyAlignment="1">
      <alignment horizontal="center"/>
    </xf>
    <xf numFmtId="0" fontId="19" fillId="34" borderId="14" xfId="0" applyFont="1" applyFill="1" applyBorder="1" applyAlignment="1">
      <alignment horizontal="center"/>
    </xf>
    <xf numFmtId="0" fontId="18" fillId="34" borderId="22" xfId="0" applyFont="1" applyFill="1" applyBorder="1" applyAlignment="1">
      <alignment horizontal="center"/>
    </xf>
    <xf numFmtId="0" fontId="18" fillId="34" borderId="23" xfId="0" applyFont="1" applyFill="1" applyBorder="1" applyAlignment="1">
      <alignment horizontal="center"/>
    </xf>
    <xf numFmtId="0" fontId="18" fillId="34" borderId="24" xfId="0" applyFont="1" applyFill="1" applyBorder="1" applyAlignment="1">
      <alignment horizontal="center"/>
    </xf>
    <xf numFmtId="0" fontId="0" fillId="0" borderId="0" xfId="0" applyAlignment="1">
      <alignment horizontal="center"/>
    </xf>
    <xf numFmtId="0" fontId="0" fillId="34" borderId="13" xfId="0" applyFill="1" applyBorder="1" applyAlignment="1">
      <alignment horizontal="center"/>
    </xf>
    <xf numFmtId="0" fontId="18" fillId="34" borderId="19" xfId="0" applyFont="1" applyFill="1" applyBorder="1" applyAlignment="1">
      <alignment horizontal="center"/>
    </xf>
    <xf numFmtId="0" fontId="18" fillId="34" borderId="20" xfId="0" applyFont="1" applyFill="1" applyBorder="1" applyAlignment="1">
      <alignment horizontal="center"/>
    </xf>
    <xf numFmtId="0" fontId="18" fillId="34" borderId="21" xfId="0" applyFont="1" applyFill="1" applyBorder="1" applyAlignment="1">
      <alignment horizontal="center"/>
    </xf>
    <xf numFmtId="183" fontId="0" fillId="0" borderId="15" xfId="0" applyNumberFormat="1" applyBorder="1"/>
    <xf numFmtId="183" fontId="0" fillId="0" borderId="19" xfId="0" applyNumberFormat="1" applyBorder="1"/>
    <xf numFmtId="183" fontId="0" fillId="0" borderId="26" xfId="0" applyNumberFormat="1" applyBorder="1"/>
    <xf numFmtId="184" fontId="0" fillId="0" borderId="14" xfId="0" applyNumberFormat="1" applyBorder="1"/>
    <xf numFmtId="184" fontId="0" fillId="0" borderId="25" xfId="0" applyNumberFormat="1" applyBorder="1"/>
    <xf numFmtId="184" fontId="0" fillId="0" borderId="27" xfId="0" applyNumberFormat="1" applyBorder="1"/>
    <xf numFmtId="184" fontId="0" fillId="0" borderId="26" xfId="0" applyNumberFormat="1" applyBorder="1"/>
    <xf numFmtId="184" fontId="0" fillId="0" borderId="12" xfId="0" applyNumberFormat="1" applyBorder="1"/>
    <xf numFmtId="184" fontId="0" fillId="0" borderId="15" xfId="0" applyNumberFormat="1" applyBorder="1"/>
    <xf numFmtId="184" fontId="0" fillId="0" borderId="19" xfId="0" applyNumberFormat="1" applyBorder="1"/>
    <xf numFmtId="0" fontId="0" fillId="34" borderId="14" xfId="0" applyFill="1" applyBorder="1" applyAlignment="1">
      <alignment horizontal="center"/>
    </xf>
    <xf numFmtId="184" fontId="0" fillId="0" borderId="11" xfId="0" applyNumberFormat="1" applyBorder="1"/>
    <xf numFmtId="0" fontId="20" fillId="34" borderId="20" xfId="0" applyFont="1" applyFill="1" applyBorder="1"/>
    <xf numFmtId="0" fontId="18" fillId="35" borderId="0" xfId="0" applyFont="1" applyFill="1" applyBorder="1" applyAlignment="1">
      <alignment horizontal="center"/>
    </xf>
    <xf numFmtId="0" fontId="0" fillId="0" borderId="0" xfId="0" applyAlignment="1">
      <alignment vertical="center"/>
    </xf>
    <xf numFmtId="0" fontId="18" fillId="34" borderId="24" xfId="0" applyFont="1" applyFill="1" applyBorder="1" applyAlignment="1">
      <alignment horizontal="left" vertical="center"/>
    </xf>
    <xf numFmtId="0" fontId="18" fillId="34" borderId="22" xfId="0" applyFont="1" applyFill="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1">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84" formatCode="\₹0.0,&quot;K&quot;"/>
    </dxf>
    <dxf>
      <numFmt numFmtId="183" formatCode="\₹0.0,,&quot;M&quot;"/>
    </dxf>
    <dxf>
      <numFmt numFmtId="183" formatCode="\₹0.0,,&quot;M&quot;"/>
    </dxf>
    <dxf>
      <numFmt numFmtId="184"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84" formatCode="\₹0.0,&quot;K&quot;"/>
    </dxf>
    <dxf>
      <numFmt numFmtId="184"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84" formatCode="\₹0.0,&quot;K&quot;"/>
    </dxf>
    <dxf>
      <numFmt numFmtId="184" formatCode="\₹0.0,&quot;K&quot;"/>
    </dxf>
    <dxf>
      <numFmt numFmtId="184" formatCode="\₹0.0,&quot;K&quot;"/>
    </dxf>
    <dxf>
      <numFmt numFmtId="184" formatCode="\₹0.0,&quot;K&quot;"/>
    </dxf>
    <dxf>
      <numFmt numFmtId="184" formatCode="\₹0.0,&quot;K&quot;"/>
    </dxf>
    <dxf>
      <numFmt numFmtId="184" formatCode="\₹0.0,&quot;K&quot;"/>
    </dxf>
    <dxf>
      <numFmt numFmtId="184" formatCode="\₹0.0,&quot;K&quot;"/>
    </dxf>
    <dxf>
      <numFmt numFmtId="184" formatCode="\₹0.0,&quot;K&quot;"/>
    </dxf>
    <dxf>
      <numFmt numFmtId="184"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83" formatCode="\₹0.0,,&quot;M&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_ [$₹-4009]\ * #,##0.0_ ;_ [$₹-4009]\ * \-#,##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s>
  <tableStyles count="1" defaultTableStyle="TableStyleMedium2" defaultPivotStyle="PivotStyleLight16">
    <tableStyle name="SlicerStyleLight4 2" pivot="0" table="0" count="10" xr9:uid="{3EAF0C5B-71B1-4808-88D2-F88850C0BF56}">
      <tableStyleElement type="wholeTable" dxfId="1"/>
      <tableStyleElement type="headerRow" dxfId="0"/>
    </tableStyle>
  </tableStyles>
  <colors>
    <mruColors>
      <color rgb="FFFFD2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D200"/>
          </a:solidFill>
          <a:ln w="19050">
            <a:solidFill>
              <a:schemeClr val="lt1"/>
            </a:solidFill>
          </a:ln>
          <a:effectLst/>
        </c:spPr>
        <c:dLbl>
          <c:idx val="0"/>
          <c:tx>
            <c:rich>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mn-cs"/>
                  </a:defRPr>
                </a:pPr>
                <a:fld id="{6D9FCBFA-53D7-44CB-B3F4-EEDAA942C444}" type="PERCENTAGE">
                  <a:rPr lang="en-US"/>
                  <a:pPr>
                    <a:defRPr/>
                  </a:pPr>
                  <a:t>[PERCENTAGE]</a:t>
                </a:fld>
                <a:endParaRPr lang="en-IN"/>
              </a:p>
            </c:rich>
          </c:tx>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92D050"/>
          </a:solidFill>
          <a:ln w="19050">
            <a:solidFill>
              <a:schemeClr val="lt1"/>
            </a:solidFill>
          </a:ln>
          <a:effectLst/>
        </c:spPr>
        <c:dLbl>
          <c:idx val="0"/>
          <c:layout>
            <c:manualLayout>
              <c:x val="0.12607012769346929"/>
              <c:y val="8.0247255525220107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8099754127151388"/>
          <c:y val="0.18860136201567768"/>
          <c:w val="0.49069223301776432"/>
          <c:h val="0.7800116065893774"/>
        </c:manualLayout>
      </c:layout>
      <c:pieChart>
        <c:varyColors val="1"/>
        <c:ser>
          <c:idx val="0"/>
          <c:order val="0"/>
          <c:tx>
            <c:strRef>
              <c:f>'Pivot Table'!$F$25</c:f>
              <c:strCache>
                <c:ptCount val="1"/>
                <c:pt idx="0">
                  <c:v>Sum of Sales</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5E87-409D-B3DD-C9227F7D0B24}"/>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5E87-409D-B3DD-C9227F7D0B24}"/>
              </c:ext>
            </c:extLst>
          </c:dPt>
          <c:dLbls>
            <c:dLbl>
              <c:idx val="0"/>
              <c:tx>
                <c:rich>
                  <a:bodyPr/>
                  <a:lstStyle/>
                  <a:p>
                    <a:fld id="{6D9FCBFA-53D7-44CB-B3F4-EEDAA942C444}" type="PERCENTAGE">
                      <a:rPr lang="en-US"/>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E87-409D-B3DD-C9227F7D0B24}"/>
                </c:ext>
              </c:extLst>
            </c:dLbl>
            <c:dLbl>
              <c:idx val="1"/>
              <c:layout>
                <c:manualLayout>
                  <c:x val="0.12607012769346929"/>
                  <c:y val="8.02472555252201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87-409D-B3DD-C9227F7D0B24}"/>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Table'!$E$26:$E$28</c:f>
              <c:strCache>
                <c:ptCount val="2"/>
                <c:pt idx="0">
                  <c:v>Low Fat</c:v>
                </c:pt>
                <c:pt idx="1">
                  <c:v>Regular</c:v>
                </c:pt>
              </c:strCache>
            </c:strRef>
          </c:cat>
          <c:val>
            <c:numRef>
              <c:f>'Pivot Table'!$F$26:$F$28</c:f>
              <c:numCache>
                <c:formatCode>_ [$₹-4009]\ * #,##0.00_ ;_ [$₹-4009]\ * \-#,##0.00_ ;_ [$₹-4009]\ * "-"??_ ;_ @_ </c:formatCode>
                <c:ptCount val="2"/>
                <c:pt idx="0">
                  <c:v>776319.68840000057</c:v>
                </c:pt>
                <c:pt idx="1">
                  <c:v>425361.80859999952</c:v>
                </c:pt>
              </c:numCache>
            </c:numRef>
          </c:val>
          <c:extLst>
            <c:ext xmlns:c16="http://schemas.microsoft.com/office/drawing/2014/chart" uri="{C3380CC4-5D6E-409C-BE32-E72D297353CC}">
              <c16:uniqueId val="{00000004-5E87-409D-B3DD-C9227F7D0B24}"/>
            </c:ext>
          </c:extLst>
        </c:ser>
        <c:ser>
          <c:idx val="1"/>
          <c:order val="1"/>
          <c:tx>
            <c:strRef>
              <c:f>'Pivot Table'!$G$25</c:f>
              <c:strCache>
                <c:ptCount val="1"/>
                <c:pt idx="0">
                  <c:v>Average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E87-409D-B3DD-C9227F7D0B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E87-409D-B3DD-C9227F7D0B24}"/>
              </c:ext>
            </c:extLst>
          </c:dPt>
          <c:cat>
            <c:strRef>
              <c:f>'Pivot Table'!$E$26:$E$28</c:f>
              <c:strCache>
                <c:ptCount val="2"/>
                <c:pt idx="0">
                  <c:v>Low Fat</c:v>
                </c:pt>
                <c:pt idx="1">
                  <c:v>Regular</c:v>
                </c:pt>
              </c:strCache>
            </c:strRef>
          </c:cat>
          <c:val>
            <c:numRef>
              <c:f>'Pivot Table'!$G$26:$G$28</c:f>
              <c:numCache>
                <c:formatCode>_ [$₹-4009]\ * #,##0.00_ ;_ [$₹-4009]\ * \-#,##0.00_ ;_ [$₹-4009]\ * "-"??_ ;_ @_ </c:formatCode>
                <c:ptCount val="2"/>
                <c:pt idx="0">
                  <c:v>140.71409976436479</c:v>
                </c:pt>
                <c:pt idx="1">
                  <c:v>141.50426101131055</c:v>
                </c:pt>
              </c:numCache>
            </c:numRef>
          </c:val>
          <c:extLst>
            <c:ext xmlns:c16="http://schemas.microsoft.com/office/drawing/2014/chart" uri="{C3380CC4-5D6E-409C-BE32-E72D297353CC}">
              <c16:uniqueId val="{00000009-5E87-409D-B3DD-C9227F7D0B24}"/>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aseline="0">
          <a:latin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D0AC2C"/>
          </a:solidFill>
          <a:ln>
            <a:noFill/>
          </a:ln>
          <a:effectLst/>
        </c:spPr>
        <c:marker>
          <c:symbol val="none"/>
        </c:marker>
        <c:dLbl>
          <c:idx val="0"/>
          <c:spPr>
            <a:noFill/>
            <a:ln>
              <a:noFill/>
            </a:ln>
            <a:effectLst/>
          </c:spPr>
          <c:txPr>
            <a:bodyPr wrap="square" lIns="38100" tIns="19050" rIns="38100" bIns="19050" anchor="ctr">
              <a:spAutoFit/>
            </a:bodyPr>
            <a:lstStyle/>
            <a:p>
              <a:pPr>
                <a:defRPr sz="1400" b="1">
                  <a:latin typeface="Times New Roman" panose="02020603050405020304" pitchFamily="18" charset="0"/>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47696799123656"/>
          <c:y val="3.4751882951900383E-2"/>
          <c:w val="0.65752303200876339"/>
          <c:h val="0.90847933676187154"/>
        </c:manualLayout>
      </c:layout>
      <c:barChart>
        <c:barDir val="bar"/>
        <c:grouping val="clustered"/>
        <c:varyColors val="0"/>
        <c:ser>
          <c:idx val="0"/>
          <c:order val="0"/>
          <c:tx>
            <c:strRef>
              <c:f>'Pivot Table'!$B$11</c:f>
              <c:strCache>
                <c:ptCount val="1"/>
                <c:pt idx="0">
                  <c:v>Sum of Sales</c:v>
                </c:pt>
              </c:strCache>
            </c:strRef>
          </c:tx>
          <c:spPr>
            <a:solidFill>
              <a:srgbClr val="D0AC2C"/>
            </a:solidFill>
            <a:ln>
              <a:noFill/>
            </a:ln>
            <a:effectLst/>
          </c:spPr>
          <c:invertIfNegative val="0"/>
          <c:dLbls>
            <c:spPr>
              <a:noFill/>
              <a:ln>
                <a:noFill/>
              </a:ln>
              <a:effectLst/>
            </c:spPr>
            <c:txPr>
              <a:bodyPr wrap="square" lIns="38100" tIns="19050" rIns="38100" bIns="19050" anchor="ctr">
                <a:spAutoFit/>
              </a:bodyPr>
              <a:lstStyle/>
              <a:p>
                <a:pPr>
                  <a:defRPr sz="1400" b="1">
                    <a:latin typeface="Times New Roman" panose="02020603050405020304" pitchFamily="18" charset="0"/>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Table'!$A$12:$A$28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Table'!$B$12:$B$28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178124.08519999994</c:v>
                </c:pt>
              </c:numCache>
            </c:numRef>
          </c:val>
          <c:extLst>
            <c:ext xmlns:c16="http://schemas.microsoft.com/office/drawing/2014/chart" uri="{C3380CC4-5D6E-409C-BE32-E72D297353CC}">
              <c16:uniqueId val="{00000003-AF36-4D86-8EA4-436AB39F7408}"/>
            </c:ext>
          </c:extLst>
        </c:ser>
        <c:ser>
          <c:idx val="1"/>
          <c:order val="1"/>
          <c:tx>
            <c:strRef>
              <c:f>'Pivot Table'!$C$11</c:f>
              <c:strCache>
                <c:ptCount val="1"/>
                <c:pt idx="0">
                  <c:v>Average of Sales2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Table'!$A$12:$A$28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Table'!$C$12:$C$28</c:f>
              <c:numCache>
                <c:formatCode>0</c:formatCode>
                <c:ptCount val="16"/>
                <c:pt idx="0">
                  <c:v>141.84171874999998</c:v>
                </c:pt>
                <c:pt idx="1">
                  <c:v>141.78815090909092</c:v>
                </c:pt>
                <c:pt idx="2">
                  <c:v>147.83802297297291</c:v>
                </c:pt>
                <c:pt idx="3">
                  <c:v>132.8514295857988</c:v>
                </c:pt>
                <c:pt idx="4">
                  <c:v>137.07794672897194</c:v>
                </c:pt>
                <c:pt idx="5">
                  <c:v>140.95266852589648</c:v>
                </c:pt>
                <c:pt idx="6">
                  <c:v>131.49251011235953</c:v>
                </c:pt>
                <c:pt idx="7">
                  <c:v>139.88203247058823</c:v>
                </c:pt>
                <c:pt idx="8">
                  <c:v>130.8189207692308</c:v>
                </c:pt>
                <c:pt idx="9">
                  <c:v>126.38076604938273</c:v>
                </c:pt>
                <c:pt idx="10">
                  <c:v>139.7638351309707</c:v>
                </c:pt>
                <c:pt idx="11">
                  <c:v>148.49921055718468</c:v>
                </c:pt>
                <c:pt idx="12">
                  <c:v>138.50336612149542</c:v>
                </c:pt>
                <c:pt idx="13">
                  <c:v>149.42475318681318</c:v>
                </c:pt>
                <c:pt idx="14">
                  <c:v>146.19493533333352</c:v>
                </c:pt>
                <c:pt idx="15">
                  <c:v>144.58123798701294</c:v>
                </c:pt>
              </c:numCache>
            </c:numRef>
          </c:val>
          <c:extLst>
            <c:ext xmlns:c16="http://schemas.microsoft.com/office/drawing/2014/chart" uri="{C3380CC4-5D6E-409C-BE32-E72D297353CC}">
              <c16:uniqueId val="{00000005-AF36-4D86-8EA4-436AB39F7408}"/>
            </c:ext>
          </c:extLst>
        </c:ser>
        <c:dLbls>
          <c:dLblPos val="inEnd"/>
          <c:showLegendKey val="0"/>
          <c:showVal val="1"/>
          <c:showCatName val="0"/>
          <c:showSerName val="0"/>
          <c:showPercent val="0"/>
          <c:showBubbleSize val="0"/>
        </c:dLbls>
        <c:gapWidth val="182"/>
        <c:axId val="2052589807"/>
        <c:axId val="1547002032"/>
      </c:barChart>
      <c:catAx>
        <c:axId val="205258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Segoe UI Black" panose="020B0A02040204020203" pitchFamily="34" charset="0"/>
                <a:cs typeface="Times New Roman" panose="02020603050405020304" pitchFamily="18" charset="0"/>
              </a:defRPr>
            </a:pPr>
            <a:endParaRPr lang="en-US"/>
          </a:p>
        </c:txPr>
        <c:crossAx val="1547002032"/>
        <c:crosses val="autoZero"/>
        <c:auto val="1"/>
        <c:lblAlgn val="ctr"/>
        <c:lblOffset val="100"/>
        <c:noMultiLvlLbl val="0"/>
      </c:catAx>
      <c:valAx>
        <c:axId val="1547002032"/>
        <c:scaling>
          <c:orientation val="minMax"/>
        </c:scaling>
        <c:delete val="1"/>
        <c:axPos val="b"/>
        <c:numFmt formatCode="\₹0.0,&quot;K&quot;" sourceLinked="1"/>
        <c:majorTickMark val="none"/>
        <c:minorTickMark val="none"/>
        <c:tickLblPos val="nextTo"/>
        <c:crossAx val="2052589807"/>
        <c:crosses val="autoZero"/>
        <c:crossBetween val="between"/>
      </c:valAx>
      <c:spPr>
        <a:noFill/>
        <a:ln w="25400">
          <a:noFill/>
        </a:ln>
        <a:effectLst/>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92D050"/>
          </a:solidFill>
          <a:ln>
            <a:noFill/>
          </a:ln>
          <a:effectLst/>
        </c:spPr>
      </c:pivotFmt>
      <c:pivotFmt>
        <c:idx val="5"/>
        <c:spPr>
          <a:solidFill>
            <a:srgbClr val="92D050"/>
          </a:solidFill>
          <a:ln>
            <a:noFill/>
          </a:ln>
          <a:effectLst/>
        </c:spPr>
      </c:pivotFmt>
    </c:pivotFmts>
    <c:plotArea>
      <c:layout/>
      <c:barChart>
        <c:barDir val="bar"/>
        <c:grouping val="clustered"/>
        <c:varyColors val="0"/>
        <c:ser>
          <c:idx val="0"/>
          <c:order val="0"/>
          <c:tx>
            <c:strRef>
              <c:f>'Pivot Table'!$K$19</c:f>
              <c:strCache>
                <c:ptCount val="1"/>
                <c:pt idx="0">
                  <c:v>Total</c:v>
                </c:pt>
              </c:strCache>
            </c:strRef>
          </c:tx>
          <c:spPr>
            <a:solidFill>
              <a:srgbClr val="FFD200"/>
            </a:solidFill>
            <a:ln>
              <a:noFill/>
            </a:ln>
            <a:effectLst/>
          </c:spPr>
          <c:invertIfNegative val="0"/>
          <c:dPt>
            <c:idx val="1"/>
            <c:invertIfNegative val="0"/>
            <c:bubble3D val="0"/>
            <c:spPr>
              <a:solidFill>
                <a:srgbClr val="92D050"/>
              </a:solidFill>
              <a:ln>
                <a:noFill/>
              </a:ln>
              <a:effectLst/>
            </c:spPr>
            <c:extLst>
              <c:ext xmlns:c16="http://schemas.microsoft.com/office/drawing/2014/chart" uri="{C3380CC4-5D6E-409C-BE32-E72D297353CC}">
                <c16:uniqueId val="{00000001-E969-4322-B82E-6B6F18D17812}"/>
              </c:ext>
            </c:extLst>
          </c:dPt>
          <c:dPt>
            <c:idx val="3"/>
            <c:invertIfNegative val="0"/>
            <c:bubble3D val="0"/>
            <c:spPr>
              <a:solidFill>
                <a:srgbClr val="92D050"/>
              </a:solidFill>
              <a:ln>
                <a:noFill/>
              </a:ln>
              <a:effectLst/>
            </c:spPr>
            <c:extLst>
              <c:ext xmlns:c16="http://schemas.microsoft.com/office/drawing/2014/chart" uri="{C3380CC4-5D6E-409C-BE32-E72D297353CC}">
                <c16:uniqueId val="{00000002-E969-4322-B82E-6B6F18D17812}"/>
              </c:ext>
            </c:extLst>
          </c:dPt>
          <c:dPt>
            <c:idx val="5"/>
            <c:invertIfNegative val="0"/>
            <c:bubble3D val="0"/>
            <c:spPr>
              <a:solidFill>
                <a:srgbClr val="92D050"/>
              </a:solidFill>
              <a:ln>
                <a:noFill/>
              </a:ln>
              <a:effectLst/>
            </c:spPr>
            <c:extLst>
              <c:ext xmlns:c16="http://schemas.microsoft.com/office/drawing/2014/chart" uri="{C3380CC4-5D6E-409C-BE32-E72D297353CC}">
                <c16:uniqueId val="{00000003-E969-4322-B82E-6B6F18D1781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Table'!$J$20:$J$29</c:f>
              <c:multiLvlStrCache>
                <c:ptCount val="6"/>
                <c:lvl>
                  <c:pt idx="0">
                    <c:v>Low Fat</c:v>
                  </c:pt>
                  <c:pt idx="1">
                    <c:v>Regular</c:v>
                  </c:pt>
                  <c:pt idx="2">
                    <c:v>Low Fat</c:v>
                  </c:pt>
                  <c:pt idx="3">
                    <c:v>Regular</c:v>
                  </c:pt>
                  <c:pt idx="4">
                    <c:v>Low Fat</c:v>
                  </c:pt>
                  <c:pt idx="5">
                    <c:v>Regular</c:v>
                  </c:pt>
                </c:lvl>
                <c:lvl>
                  <c:pt idx="0">
                    <c:v>Tier 1</c:v>
                  </c:pt>
                  <c:pt idx="2">
                    <c:v>Tier 2</c:v>
                  </c:pt>
                  <c:pt idx="4">
                    <c:v>Tier 3</c:v>
                  </c:pt>
                </c:lvl>
              </c:multiLvlStrCache>
            </c:multiLvlStrRef>
          </c:cat>
          <c:val>
            <c:numRef>
              <c:f>'Pivot Table'!$K$20:$K$29</c:f>
              <c:numCache>
                <c:formatCode>\₹0.0,"K"</c:formatCode>
                <c:ptCount val="6"/>
                <c:pt idx="0">
                  <c:v>215047.9126000001</c:v>
                </c:pt>
                <c:pt idx="1">
                  <c:v>121349.90080000002</c:v>
                </c:pt>
                <c:pt idx="2">
                  <c:v>254464.77940000014</c:v>
                </c:pt>
                <c:pt idx="3">
                  <c:v>138685.87099999993</c:v>
                </c:pt>
                <c:pt idx="4">
                  <c:v>306806.99640000012</c:v>
                </c:pt>
                <c:pt idx="5">
                  <c:v>165326.0368</c:v>
                </c:pt>
              </c:numCache>
            </c:numRef>
          </c:val>
          <c:extLst>
            <c:ext xmlns:c16="http://schemas.microsoft.com/office/drawing/2014/chart" uri="{C3380CC4-5D6E-409C-BE32-E72D297353CC}">
              <c16:uniqueId val="{00000000-E969-4322-B82E-6B6F18D17812}"/>
            </c:ext>
          </c:extLst>
        </c:ser>
        <c:dLbls>
          <c:dLblPos val="inEnd"/>
          <c:showLegendKey val="0"/>
          <c:showVal val="1"/>
          <c:showCatName val="0"/>
          <c:showSerName val="0"/>
          <c:showPercent val="0"/>
          <c:showBubbleSize val="0"/>
        </c:dLbls>
        <c:gapWidth val="182"/>
        <c:axId val="2063106111"/>
        <c:axId val="1547002512"/>
      </c:barChart>
      <c:catAx>
        <c:axId val="2063106111"/>
        <c:scaling>
          <c:orientation val="minMax"/>
        </c:scaling>
        <c:delete val="0"/>
        <c:axPos val="l"/>
        <c:numFmt formatCode="General" sourceLinked="1"/>
        <c:majorTickMark val="out"/>
        <c:minorTickMark val="none"/>
        <c:tickLblPos val="nextTo"/>
        <c:spPr>
          <a:noFill/>
          <a:ln w="317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47002512"/>
        <c:crosses val="autoZero"/>
        <c:auto val="1"/>
        <c:lblAlgn val="ctr"/>
        <c:lblOffset val="100"/>
        <c:noMultiLvlLbl val="0"/>
      </c:catAx>
      <c:valAx>
        <c:axId val="1547002512"/>
        <c:scaling>
          <c:orientation val="minMax"/>
        </c:scaling>
        <c:delete val="1"/>
        <c:axPos val="b"/>
        <c:numFmt formatCode="\₹0.0,&quot;K&quot;" sourceLinked="1"/>
        <c:majorTickMark val="out"/>
        <c:minorTickMark val="none"/>
        <c:tickLblPos val="nextTo"/>
        <c:crossAx val="206310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c:spPr>
        <c:dLbl>
          <c:idx val="0"/>
          <c:layout>
            <c:manualLayout>
              <c:x val="-2.1906576500884383E-2"/>
              <c:y val="-0.28240740740740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c:spPr>
        <c:dLbl>
          <c:idx val="0"/>
          <c:layout>
            <c:manualLayout>
              <c:x val="7.3021921669614619E-3"/>
              <c:y val="-0.240740740740740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c:spPr>
        <c:dLbl>
          <c:idx val="0"/>
          <c:layout>
            <c:manualLayout>
              <c:x val="-2.555767258436515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c:spPr>
        <c:dLbl>
          <c:idx val="0"/>
          <c:layout>
            <c:manualLayout>
              <c:x val="-1.2778836292182558E-2"/>
              <c:y val="-0.28240740740740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c:spPr>
        <c:dLbl>
          <c:idx val="0"/>
          <c:layout>
            <c:manualLayout>
              <c:x val="-9.1277402087018931E-3"/>
              <c:y val="-0.28240740740740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c:spPr>
        <c:dLbl>
          <c:idx val="0"/>
          <c:layout>
            <c:manualLayout>
              <c:x val="-2.0081028459144085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c:spPr>
        <c:dLbl>
          <c:idx val="0"/>
          <c:layout>
            <c:manualLayout>
              <c:x val="-3.651096083480731E-3"/>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c:spPr>
        <c:dLbl>
          <c:idx val="0"/>
          <c:layout>
            <c:manualLayout>
              <c:x val="5.4766441252209622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c:spPr>
        <c:dLbl>
          <c:idx val="0"/>
          <c:layout>
            <c:manualLayout>
              <c:x val="-1.8255480417404993E-3"/>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51952438005033E-2"/>
          <c:y val="4.1991765935324714E-2"/>
          <c:w val="0.93650456422946404"/>
          <c:h val="0.84018153980752408"/>
        </c:manualLayout>
      </c:layout>
      <c:areaChart>
        <c:grouping val="standard"/>
        <c:varyColors val="0"/>
        <c:ser>
          <c:idx val="0"/>
          <c:order val="0"/>
          <c:tx>
            <c:strRef>
              <c:f>'Pivot Table'!$I$33</c:f>
              <c:strCache>
                <c:ptCount val="1"/>
                <c:pt idx="0">
                  <c:v>Total</c:v>
                </c:pt>
              </c:strCache>
            </c:strRef>
          </c:tx>
          <c:spPr>
            <a:solidFill>
              <a:srgbClr val="FFD200">
                <a:alpha val="80000"/>
              </a:srgbClr>
            </a:solidFill>
            <a:ln w="25400">
              <a:solidFill>
                <a:schemeClr val="tx1"/>
              </a:solidFill>
            </a:ln>
            <a:effectLst/>
          </c:spPr>
          <c:dLbls>
            <c:dLbl>
              <c:idx val="0"/>
              <c:layout>
                <c:manualLayout>
                  <c:x val="7.3021921669614619E-3"/>
                  <c:y val="-0.240740740740740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C9-43F1-85D8-A94F165E147B}"/>
                </c:ext>
              </c:extLst>
            </c:dLbl>
            <c:dLbl>
              <c:idx val="1"/>
              <c:layout>
                <c:manualLayout>
                  <c:x val="-2.1906576500884383E-2"/>
                  <c:y val="-0.282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C9-43F1-85D8-A94F165E147B}"/>
                </c:ext>
              </c:extLst>
            </c:dLbl>
            <c:dLbl>
              <c:idx val="2"/>
              <c:layout>
                <c:manualLayout>
                  <c:x val="-2.555767258436515E-2"/>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C9-43F1-85D8-A94F165E147B}"/>
                </c:ext>
              </c:extLst>
            </c:dLbl>
            <c:dLbl>
              <c:idx val="3"/>
              <c:layout>
                <c:manualLayout>
                  <c:x val="-1.2778836292182558E-2"/>
                  <c:y val="-0.282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C9-43F1-85D8-A94F165E147B}"/>
                </c:ext>
              </c:extLst>
            </c:dLbl>
            <c:dLbl>
              <c:idx val="4"/>
              <c:layout>
                <c:manualLayout>
                  <c:x val="-9.1277402087018931E-3"/>
                  <c:y val="-0.282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C9-43F1-85D8-A94F165E147B}"/>
                </c:ext>
              </c:extLst>
            </c:dLbl>
            <c:dLbl>
              <c:idx val="5"/>
              <c:layout>
                <c:manualLayout>
                  <c:x val="-2.0081028459144085E-2"/>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C9-43F1-85D8-A94F165E147B}"/>
                </c:ext>
              </c:extLst>
            </c:dLbl>
            <c:dLbl>
              <c:idx val="6"/>
              <c:layout>
                <c:manualLayout>
                  <c:x val="-3.651096083480731E-3"/>
                  <c:y val="-0.393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C9-43F1-85D8-A94F165E147B}"/>
                </c:ext>
              </c:extLst>
            </c:dLbl>
            <c:dLbl>
              <c:idx val="7"/>
              <c:layout>
                <c:manualLayout>
                  <c:x val="5.4766441252209622E-3"/>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7C9-43F1-85D8-A94F165E147B}"/>
                </c:ext>
              </c:extLst>
            </c:dLbl>
            <c:dLbl>
              <c:idx val="8"/>
              <c:layout>
                <c:manualLayout>
                  <c:x val="-1.8255480417404993E-3"/>
                  <c:y val="-0.282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7C9-43F1-85D8-A94F165E147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Table'!$H$34:$H$43</c:f>
              <c:strCache>
                <c:ptCount val="9"/>
                <c:pt idx="0">
                  <c:v>2011</c:v>
                </c:pt>
                <c:pt idx="1">
                  <c:v>2012</c:v>
                </c:pt>
                <c:pt idx="2">
                  <c:v>2014</c:v>
                </c:pt>
                <c:pt idx="3">
                  <c:v>2015</c:v>
                </c:pt>
                <c:pt idx="4">
                  <c:v>2016</c:v>
                </c:pt>
                <c:pt idx="5">
                  <c:v>2017</c:v>
                </c:pt>
                <c:pt idx="6">
                  <c:v>2018</c:v>
                </c:pt>
                <c:pt idx="7">
                  <c:v>2020</c:v>
                </c:pt>
                <c:pt idx="8">
                  <c:v>2022</c:v>
                </c:pt>
              </c:strCache>
            </c:strRef>
          </c:cat>
          <c:val>
            <c:numRef>
              <c:f>'Pivot Table'!$I$34:$I$43</c:f>
              <c:numCache>
                <c:formatCode>\₹0.0,"K"</c:formatCode>
                <c:ptCount val="9"/>
                <c:pt idx="0">
                  <c:v>78131.566599999976</c:v>
                </c:pt>
                <c:pt idx="1">
                  <c:v>130476.86119999997</c:v>
                </c:pt>
                <c:pt idx="2">
                  <c:v>131809.01560000007</c:v>
                </c:pt>
                <c:pt idx="3">
                  <c:v>130942.78019999999</c:v>
                </c:pt>
                <c:pt idx="4">
                  <c:v>132113.36980000007</c:v>
                </c:pt>
                <c:pt idx="5">
                  <c:v>133103.90979999988</c:v>
                </c:pt>
                <c:pt idx="6">
                  <c:v>204522.25700000025</c:v>
                </c:pt>
                <c:pt idx="7">
                  <c:v>129103.96039999987</c:v>
                </c:pt>
                <c:pt idx="8">
                  <c:v>131477.77639999994</c:v>
                </c:pt>
              </c:numCache>
            </c:numRef>
          </c:val>
          <c:extLst>
            <c:ext xmlns:c16="http://schemas.microsoft.com/office/drawing/2014/chart" uri="{C3380CC4-5D6E-409C-BE32-E72D297353CC}">
              <c16:uniqueId val="{00000000-E7C9-43F1-85D8-A94F165E147B}"/>
            </c:ext>
          </c:extLst>
        </c:ser>
        <c:dLbls>
          <c:showLegendKey val="0"/>
          <c:showVal val="1"/>
          <c:showCatName val="0"/>
          <c:showSerName val="0"/>
          <c:showPercent val="0"/>
          <c:showBubbleSize val="0"/>
        </c:dLbls>
        <c:axId val="2063183135"/>
        <c:axId val="1547087472"/>
      </c:areaChart>
      <c:catAx>
        <c:axId val="206318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47087472"/>
        <c:crosses val="autoZero"/>
        <c:auto val="1"/>
        <c:lblAlgn val="ctr"/>
        <c:lblOffset val="100"/>
        <c:noMultiLvlLbl val="0"/>
      </c:catAx>
      <c:valAx>
        <c:axId val="1547087472"/>
        <c:scaling>
          <c:orientation val="minMax"/>
        </c:scaling>
        <c:delete val="1"/>
        <c:axPos val="l"/>
        <c:numFmt formatCode="\₹0.0,&quot;K&quot;" sourceLinked="1"/>
        <c:majorTickMark val="none"/>
        <c:minorTickMark val="none"/>
        <c:tickLblPos val="nextTo"/>
        <c:crossAx val="2063183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D0AC2C"/>
          </a:solidFill>
          <a:ln w="19050">
            <a:solidFill>
              <a:schemeClr val="lt1"/>
            </a:solidFill>
          </a:ln>
          <a:effectLst/>
        </c:spPr>
      </c:pivotFmt>
      <c:pivotFmt>
        <c:idx val="3"/>
        <c:spPr>
          <a:solidFill>
            <a:srgbClr val="FFD2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AC2C"/>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FFD2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FFD200"/>
          </a:solidFill>
          <a:ln w="19050">
            <a:solidFill>
              <a:schemeClr val="lt1"/>
            </a:solidFill>
          </a:ln>
          <a:effectLst/>
        </c:spPr>
      </c:pivotFmt>
    </c:pivotFmts>
    <c:plotArea>
      <c:layout/>
      <c:pieChart>
        <c:varyColors val="1"/>
        <c:ser>
          <c:idx val="0"/>
          <c:order val="0"/>
          <c:tx>
            <c:strRef>
              <c:f>'Pivot Table'!$M$33</c:f>
              <c:strCache>
                <c:ptCount val="1"/>
                <c:pt idx="0">
                  <c:v>Total</c:v>
                </c:pt>
              </c:strCache>
            </c:strRef>
          </c:tx>
          <c:dPt>
            <c:idx val="0"/>
            <c:bubble3D val="0"/>
            <c:spPr>
              <a:solidFill>
                <a:srgbClr val="D0AC2C"/>
              </a:solidFill>
              <a:ln w="19050">
                <a:solidFill>
                  <a:schemeClr val="lt1"/>
                </a:solidFill>
              </a:ln>
              <a:effectLst/>
            </c:spPr>
            <c:extLst>
              <c:ext xmlns:c16="http://schemas.microsoft.com/office/drawing/2014/chart" uri="{C3380CC4-5D6E-409C-BE32-E72D297353CC}">
                <c16:uniqueId val="{00000001-10D7-4E15-9216-E3C3B4128843}"/>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0D7-4E15-9216-E3C3B4128843}"/>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10D7-4E15-9216-E3C3B412884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Table'!$L$34:$L$37</c:f>
              <c:strCache>
                <c:ptCount val="3"/>
                <c:pt idx="0">
                  <c:v>High</c:v>
                </c:pt>
                <c:pt idx="1">
                  <c:v>Medium</c:v>
                </c:pt>
                <c:pt idx="2">
                  <c:v>Small</c:v>
                </c:pt>
              </c:strCache>
            </c:strRef>
          </c:cat>
          <c:val>
            <c:numRef>
              <c:f>'Pivot Table'!$M$34:$M$37</c:f>
              <c:numCache>
                <c:formatCode>\₹0.0,"K"</c:formatCode>
                <c:ptCount val="3"/>
                <c:pt idx="0">
                  <c:v>248991.58600000024</c:v>
                </c:pt>
                <c:pt idx="1">
                  <c:v>507895.7377999993</c:v>
                </c:pt>
                <c:pt idx="2">
                  <c:v>444794.17319999932</c:v>
                </c:pt>
              </c:numCache>
            </c:numRef>
          </c:val>
          <c:extLst>
            <c:ext xmlns:c16="http://schemas.microsoft.com/office/drawing/2014/chart" uri="{C3380CC4-5D6E-409C-BE32-E72D297353CC}">
              <c16:uniqueId val="{00000006-10D7-4E15-9216-E3C3B412884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Table!PivotTable15</c:name>
    <c:fmtId val="4"/>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Table'!$I$47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Table'!$H$48:$H$52</c:f>
              <c:strCache>
                <c:ptCount val="4"/>
                <c:pt idx="0">
                  <c:v>Supermarket Type3</c:v>
                </c:pt>
                <c:pt idx="1">
                  <c:v>Supermarket Type2</c:v>
                </c:pt>
                <c:pt idx="2">
                  <c:v>Grocery Store</c:v>
                </c:pt>
                <c:pt idx="3">
                  <c:v>Supermarket Type1</c:v>
                </c:pt>
              </c:strCache>
            </c:strRef>
          </c:cat>
          <c:val>
            <c:numRef>
              <c:f>'Pivot Table'!$I$48:$I$52</c:f>
              <c:numCache>
                <c:formatCode>\₹0.0,"K"</c:formatCode>
                <c:ptCount val="4"/>
                <c:pt idx="0">
                  <c:v>130714.67460000006</c:v>
                </c:pt>
                <c:pt idx="1">
                  <c:v>131477.77639999994</c:v>
                </c:pt>
                <c:pt idx="2">
                  <c:v>151939.149</c:v>
                </c:pt>
                <c:pt idx="3">
                  <c:v>787549.89700000128</c:v>
                </c:pt>
              </c:numCache>
            </c:numRef>
          </c:val>
          <c:extLst>
            <c:ext xmlns:c16="http://schemas.microsoft.com/office/drawing/2014/chart" uri="{C3380CC4-5D6E-409C-BE32-E72D297353CC}">
              <c16:uniqueId val="{00000000-B6A7-4A00-ABED-927DC2C4D9ED}"/>
            </c:ext>
          </c:extLst>
        </c:ser>
        <c:dLbls>
          <c:dLblPos val="outEnd"/>
          <c:showLegendKey val="0"/>
          <c:showVal val="1"/>
          <c:showCatName val="0"/>
          <c:showSerName val="0"/>
          <c:showPercent val="0"/>
          <c:showBubbleSize val="0"/>
        </c:dLbls>
        <c:gapWidth val="182"/>
        <c:axId val="2063208191"/>
        <c:axId val="1547089872"/>
      </c:barChart>
      <c:catAx>
        <c:axId val="20632081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47089872"/>
        <c:crosses val="autoZero"/>
        <c:auto val="1"/>
        <c:lblAlgn val="ctr"/>
        <c:lblOffset val="100"/>
        <c:noMultiLvlLbl val="0"/>
      </c:catAx>
      <c:valAx>
        <c:axId val="1547089872"/>
        <c:scaling>
          <c:orientation val="minMax"/>
        </c:scaling>
        <c:delete val="1"/>
        <c:axPos val="b"/>
        <c:numFmt formatCode="\₹0.0,&quot;K&quot;" sourceLinked="1"/>
        <c:majorTickMark val="none"/>
        <c:minorTickMark val="none"/>
        <c:tickLblPos val="nextTo"/>
        <c:crossAx val="206320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579120</xdr:colOff>
      <xdr:row>1</xdr:row>
      <xdr:rowOff>0</xdr:rowOff>
    </xdr:from>
    <xdr:to>
      <xdr:col>7</xdr:col>
      <xdr:colOff>1219200</xdr:colOff>
      <xdr:row>7</xdr:row>
      <xdr:rowOff>15240</xdr:rowOff>
    </xdr:to>
    <mc:AlternateContent xmlns:mc="http://schemas.openxmlformats.org/markup-compatibility/2006">
      <mc:Choice xmlns:a14="http://schemas.microsoft.com/office/drawing/2010/main" Requires="a14">
        <xdr:graphicFrame macro="">
          <xdr:nvGraphicFramePr>
            <xdr:cNvPr id="2" name="Outlet Location Type">
              <a:extLst>
                <a:ext uri="{FF2B5EF4-FFF2-40B4-BE49-F238E27FC236}">
                  <a16:creationId xmlns:a16="http://schemas.microsoft.com/office/drawing/2014/main" id="{729FA440-61BC-3968-C6F7-DD27BAEBFC7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290878" y="300182"/>
              <a:ext cx="1825413" cy="1215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0</xdr:row>
      <xdr:rowOff>281940</xdr:rowOff>
    </xdr:from>
    <xdr:to>
      <xdr:col>5</xdr:col>
      <xdr:colOff>952500</xdr:colOff>
      <xdr:row>7</xdr:row>
      <xdr:rowOff>7619</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476C39E1-9F0E-C073-1DFA-4DA4F10A444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763808" y="281940"/>
              <a:ext cx="1830571" cy="1226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625521</xdr:colOff>
      <xdr:row>0</xdr:row>
      <xdr:rowOff>0</xdr:rowOff>
    </xdr:from>
    <xdr:to>
      <xdr:col>28</xdr:col>
      <xdr:colOff>29457</xdr:colOff>
      <xdr:row>51</xdr:row>
      <xdr:rowOff>95490</xdr:rowOff>
    </xdr:to>
    <xdr:sp macro="" textlink="">
      <xdr:nvSpPr>
        <xdr:cNvPr id="2" name="Rectangle 1">
          <a:extLst>
            <a:ext uri="{FF2B5EF4-FFF2-40B4-BE49-F238E27FC236}">
              <a16:creationId xmlns:a16="http://schemas.microsoft.com/office/drawing/2014/main" id="{DB01C18A-EBA1-43D6-C8A0-00B8FF29F7FA}"/>
            </a:ext>
          </a:extLst>
        </xdr:cNvPr>
        <xdr:cNvSpPr/>
      </xdr:nvSpPr>
      <xdr:spPr>
        <a:xfrm>
          <a:off x="625521" y="0"/>
          <a:ext cx="18192354" cy="995599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200"/>
        </a:p>
      </xdr:txBody>
    </xdr:sp>
    <xdr:clientData/>
  </xdr:twoCellAnchor>
  <xdr:twoCellAnchor>
    <xdr:from>
      <xdr:col>0</xdr:col>
      <xdr:colOff>625520</xdr:colOff>
      <xdr:row>0</xdr:row>
      <xdr:rowOff>4503</xdr:rowOff>
    </xdr:from>
    <xdr:to>
      <xdr:col>4</xdr:col>
      <xdr:colOff>227459</xdr:colOff>
      <xdr:row>51</xdr:row>
      <xdr:rowOff>95490</xdr:rowOff>
    </xdr:to>
    <xdr:sp macro="" textlink="">
      <xdr:nvSpPr>
        <xdr:cNvPr id="9" name="Rectangle: Top Corners Rounded 8">
          <a:extLst>
            <a:ext uri="{FF2B5EF4-FFF2-40B4-BE49-F238E27FC236}">
              <a16:creationId xmlns:a16="http://schemas.microsoft.com/office/drawing/2014/main" id="{7C6A8C9D-B9B8-F923-C2DC-0242A081A0E4}"/>
            </a:ext>
          </a:extLst>
        </xdr:cNvPr>
        <xdr:cNvSpPr/>
      </xdr:nvSpPr>
      <xdr:spPr>
        <a:xfrm rot="5400000">
          <a:off x="-3207227" y="3837250"/>
          <a:ext cx="9951494" cy="2285999"/>
        </a:xfrm>
        <a:prstGeom prst="round2SameRect">
          <a:avLst>
            <a:gd name="adj1" fmla="val 31021"/>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625521</xdr:colOff>
      <xdr:row>2</xdr:row>
      <xdr:rowOff>45492</xdr:rowOff>
    </xdr:from>
    <xdr:to>
      <xdr:col>4</xdr:col>
      <xdr:colOff>34118</xdr:colOff>
      <xdr:row>7</xdr:row>
      <xdr:rowOff>113731</xdr:rowOff>
    </xdr:to>
    <xdr:sp macro="" textlink="">
      <xdr:nvSpPr>
        <xdr:cNvPr id="10" name="TextBox 9">
          <a:extLst>
            <a:ext uri="{FF2B5EF4-FFF2-40B4-BE49-F238E27FC236}">
              <a16:creationId xmlns:a16="http://schemas.microsoft.com/office/drawing/2014/main" id="{E4CA0F4A-2430-FA36-2728-71062D083489}"/>
            </a:ext>
          </a:extLst>
        </xdr:cNvPr>
        <xdr:cNvSpPr txBox="1"/>
      </xdr:nvSpPr>
      <xdr:spPr>
        <a:xfrm>
          <a:off x="625521" y="432179"/>
          <a:ext cx="2092657" cy="1034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659642</xdr:colOff>
      <xdr:row>5</xdr:row>
      <xdr:rowOff>90986</xdr:rowOff>
    </xdr:from>
    <xdr:to>
      <xdr:col>4</xdr:col>
      <xdr:colOff>284328</xdr:colOff>
      <xdr:row>10</xdr:row>
      <xdr:rowOff>0</xdr:rowOff>
    </xdr:to>
    <xdr:sp macro="" textlink="">
      <xdr:nvSpPr>
        <xdr:cNvPr id="12" name="TextBox 11">
          <a:extLst>
            <a:ext uri="{FF2B5EF4-FFF2-40B4-BE49-F238E27FC236}">
              <a16:creationId xmlns:a16="http://schemas.microsoft.com/office/drawing/2014/main" id="{19715054-D373-FB4E-175C-2C76DC4A5F5B}"/>
            </a:ext>
          </a:extLst>
        </xdr:cNvPr>
        <xdr:cNvSpPr txBox="1"/>
      </xdr:nvSpPr>
      <xdr:spPr>
        <a:xfrm>
          <a:off x="659642" y="1057702"/>
          <a:ext cx="2308746" cy="875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India</a:t>
          </a:r>
          <a:r>
            <a:rPr lang="en-IN" sz="1400" baseline="0">
              <a:latin typeface="Segoe UI Black" panose="020B0A02040204020203" pitchFamily="34" charset="0"/>
              <a:ea typeface="Segoe UI Black" panose="020B0A02040204020203" pitchFamily="34" charset="0"/>
            </a:rPr>
            <a:t>'s Ecommerce D</a:t>
          </a:r>
          <a:r>
            <a:rPr lang="en-IN" sz="1400">
              <a:latin typeface="Segoe UI Black" panose="020B0A02040204020203" pitchFamily="34" charset="0"/>
              <a:ea typeface="Segoe UI Black" panose="020B0A02040204020203" pitchFamily="34" charset="0"/>
            </a:rPr>
            <a:t>elivery App</a:t>
          </a:r>
        </a:p>
      </xdr:txBody>
    </xdr:sp>
    <xdr:clientData/>
  </xdr:twoCellAnchor>
  <xdr:twoCellAnchor>
    <xdr:from>
      <xdr:col>4</xdr:col>
      <xdr:colOff>465046</xdr:colOff>
      <xdr:row>2</xdr:row>
      <xdr:rowOff>123469</xdr:rowOff>
    </xdr:from>
    <xdr:to>
      <xdr:col>27</xdr:col>
      <xdr:colOff>172644</xdr:colOff>
      <xdr:row>9</xdr:row>
      <xdr:rowOff>58798</xdr:rowOff>
    </xdr:to>
    <xdr:grpSp>
      <xdr:nvGrpSpPr>
        <xdr:cNvPr id="19" name="Group 18">
          <a:extLst>
            <a:ext uri="{FF2B5EF4-FFF2-40B4-BE49-F238E27FC236}">
              <a16:creationId xmlns:a16="http://schemas.microsoft.com/office/drawing/2014/main" id="{A791EB4E-131D-26C6-BA2F-AD8ECA1B52CE}"/>
            </a:ext>
          </a:extLst>
        </xdr:cNvPr>
        <xdr:cNvGrpSpPr/>
      </xdr:nvGrpSpPr>
      <xdr:grpSpPr>
        <a:xfrm>
          <a:off x="3137908" y="522054"/>
          <a:ext cx="15076551" cy="1330375"/>
          <a:chOff x="3241343" y="864358"/>
          <a:chExt cx="15140941" cy="1902882"/>
        </a:xfrm>
      </xdr:grpSpPr>
      <xdr:sp macro="" textlink="">
        <xdr:nvSpPr>
          <xdr:cNvPr id="14" name="Rectangle: Rounded Corners 13">
            <a:extLst>
              <a:ext uri="{FF2B5EF4-FFF2-40B4-BE49-F238E27FC236}">
                <a16:creationId xmlns:a16="http://schemas.microsoft.com/office/drawing/2014/main" id="{D1EEB8DE-070E-4119-BAD7-B14EAD99D071}"/>
              </a:ext>
            </a:extLst>
          </xdr:cNvPr>
          <xdr:cNvSpPr/>
        </xdr:nvSpPr>
        <xdr:spPr>
          <a:xfrm>
            <a:off x="7072839" y="874750"/>
            <a:ext cx="3548418" cy="1853821"/>
          </a:xfrm>
          <a:prstGeom prst="roundRect">
            <a:avLst/>
          </a:prstGeom>
          <a:solidFill>
            <a:schemeClr val="bg1"/>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DB9C7CBD-D62B-4D94-BBCC-AFDD04CDC1A0}"/>
              </a:ext>
            </a:extLst>
          </xdr:cNvPr>
          <xdr:cNvSpPr/>
        </xdr:nvSpPr>
        <xdr:spPr>
          <a:xfrm>
            <a:off x="10951077" y="886123"/>
            <a:ext cx="3548418" cy="1853821"/>
          </a:xfrm>
          <a:prstGeom prst="roundRect">
            <a:avLst/>
          </a:prstGeom>
          <a:solidFill>
            <a:schemeClr val="bg1"/>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C48F8937-B945-4D7B-95D4-6D961591FB24}"/>
              </a:ext>
            </a:extLst>
          </xdr:cNvPr>
          <xdr:cNvSpPr/>
        </xdr:nvSpPr>
        <xdr:spPr>
          <a:xfrm>
            <a:off x="14833866" y="913419"/>
            <a:ext cx="3548418" cy="1853821"/>
          </a:xfrm>
          <a:prstGeom prst="roundRect">
            <a:avLst/>
          </a:prstGeom>
          <a:solidFill>
            <a:schemeClr val="bg1"/>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9471B546-C550-722E-7EDD-43718FB42D4A}"/>
              </a:ext>
            </a:extLst>
          </xdr:cNvPr>
          <xdr:cNvSpPr/>
        </xdr:nvSpPr>
        <xdr:spPr>
          <a:xfrm>
            <a:off x="3241343" y="864358"/>
            <a:ext cx="3548418" cy="1853821"/>
          </a:xfrm>
          <a:prstGeom prst="roundRect">
            <a:avLst/>
          </a:prstGeom>
          <a:solidFill>
            <a:schemeClr val="bg1"/>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xdr:col>
      <xdr:colOff>23941</xdr:colOff>
      <xdr:row>23</xdr:row>
      <xdr:rowOff>1</xdr:rowOff>
    </xdr:from>
    <xdr:to>
      <xdr:col>4</xdr:col>
      <xdr:colOff>181970</xdr:colOff>
      <xdr:row>31</xdr:row>
      <xdr:rowOff>2678</xdr:rowOff>
    </xdr:to>
    <mc:AlternateContent xmlns:mc="http://schemas.openxmlformats.org/markup-compatibility/2006">
      <mc:Choice xmlns:a14="http://schemas.microsoft.com/office/drawing/2010/main" Requires="a14">
        <xdr:graphicFrame macro="">
          <xdr:nvGraphicFramePr>
            <xdr:cNvPr id="21" name="Outlet Location Type 1">
              <a:extLst>
                <a:ext uri="{FF2B5EF4-FFF2-40B4-BE49-F238E27FC236}">
                  <a16:creationId xmlns:a16="http://schemas.microsoft.com/office/drawing/2014/main" id="{C93840B4-C682-4892-A909-54D745B9F5A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692156" y="4583724"/>
              <a:ext cx="2162676" cy="1597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95082</xdr:colOff>
      <xdr:row>14</xdr:row>
      <xdr:rowOff>66078</xdr:rowOff>
    </xdr:from>
    <xdr:to>
      <xdr:col>4</xdr:col>
      <xdr:colOff>158029</xdr:colOff>
      <xdr:row>22</xdr:row>
      <xdr:rowOff>14047</xdr:rowOff>
    </xdr:to>
    <mc:AlternateContent xmlns:mc="http://schemas.openxmlformats.org/markup-compatibility/2006">
      <mc:Choice xmlns:a14="http://schemas.microsoft.com/office/drawing/2010/main" Requires="a14">
        <xdr:graphicFrame macro="">
          <xdr:nvGraphicFramePr>
            <xdr:cNvPr id="22" name="Outlet Size 1">
              <a:extLst>
                <a:ext uri="{FF2B5EF4-FFF2-40B4-BE49-F238E27FC236}">
                  <a16:creationId xmlns:a16="http://schemas.microsoft.com/office/drawing/2014/main" id="{0656788D-E4CE-49CA-8476-83839C7F6F0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763297" y="2856170"/>
              <a:ext cx="2067594" cy="1542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56864</xdr:colOff>
      <xdr:row>3</xdr:row>
      <xdr:rowOff>71453</xdr:rowOff>
    </xdr:from>
    <xdr:to>
      <xdr:col>9</xdr:col>
      <xdr:colOff>476050</xdr:colOff>
      <xdr:row>5</xdr:row>
      <xdr:rowOff>125105</xdr:rowOff>
    </xdr:to>
    <xdr:pic>
      <xdr:nvPicPr>
        <xdr:cNvPr id="35" name="Picture 34">
          <a:extLst>
            <a:ext uri="{FF2B5EF4-FFF2-40B4-BE49-F238E27FC236}">
              <a16:creationId xmlns:a16="http://schemas.microsoft.com/office/drawing/2014/main" id="{5F4D12C6-9DA6-4505-8A49-090D5FFE7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5998" y="651483"/>
          <a:ext cx="419186" cy="440338"/>
        </a:xfrm>
        <a:prstGeom prst="rect">
          <a:avLst/>
        </a:prstGeom>
      </xdr:spPr>
    </xdr:pic>
    <xdr:clientData/>
  </xdr:twoCellAnchor>
  <xdr:twoCellAnchor editAs="oneCell">
    <xdr:from>
      <xdr:col>26</xdr:col>
      <xdr:colOff>131936</xdr:colOff>
      <xdr:row>3</xdr:row>
      <xdr:rowOff>34119</xdr:rowOff>
    </xdr:from>
    <xdr:to>
      <xdr:col>27</xdr:col>
      <xdr:colOff>51321</xdr:colOff>
      <xdr:row>6</xdr:row>
      <xdr:rowOff>44489</xdr:rowOff>
    </xdr:to>
    <xdr:pic>
      <xdr:nvPicPr>
        <xdr:cNvPr id="36" name="Picture 35">
          <a:extLst>
            <a:ext uri="{FF2B5EF4-FFF2-40B4-BE49-F238E27FC236}">
              <a16:creationId xmlns:a16="http://schemas.microsoft.com/office/drawing/2014/main" id="{E865F32D-3B1A-4862-9750-7033D07212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578324" y="614149"/>
          <a:ext cx="590400" cy="590400"/>
        </a:xfrm>
        <a:prstGeom prst="rect">
          <a:avLst/>
        </a:prstGeom>
      </xdr:spPr>
    </xdr:pic>
    <xdr:clientData/>
  </xdr:twoCellAnchor>
  <xdr:twoCellAnchor editAs="oneCell">
    <xdr:from>
      <xdr:col>20</xdr:col>
      <xdr:colOff>312863</xdr:colOff>
      <xdr:row>3</xdr:row>
      <xdr:rowOff>34119</xdr:rowOff>
    </xdr:from>
    <xdr:to>
      <xdr:col>21</xdr:col>
      <xdr:colOff>232249</xdr:colOff>
      <xdr:row>6</xdr:row>
      <xdr:rowOff>44489</xdr:rowOff>
    </xdr:to>
    <xdr:pic>
      <xdr:nvPicPr>
        <xdr:cNvPr id="37" name="Picture 36">
          <a:extLst>
            <a:ext uri="{FF2B5EF4-FFF2-40B4-BE49-F238E27FC236}">
              <a16:creationId xmlns:a16="http://schemas.microsoft.com/office/drawing/2014/main" id="{F8B15B59-F0D7-4CD5-9E79-2851D74A90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33162" y="614149"/>
          <a:ext cx="590400" cy="590400"/>
        </a:xfrm>
        <a:prstGeom prst="rect">
          <a:avLst/>
        </a:prstGeom>
      </xdr:spPr>
    </xdr:pic>
    <xdr:clientData/>
  </xdr:twoCellAnchor>
  <xdr:twoCellAnchor editAs="oneCell">
    <xdr:from>
      <xdr:col>14</xdr:col>
      <xdr:colOff>501130</xdr:colOff>
      <xdr:row>3</xdr:row>
      <xdr:rowOff>34119</xdr:rowOff>
    </xdr:from>
    <xdr:to>
      <xdr:col>15</xdr:col>
      <xdr:colOff>338692</xdr:colOff>
      <xdr:row>5</xdr:row>
      <xdr:rowOff>156010</xdr:rowOff>
    </xdr:to>
    <xdr:pic>
      <xdr:nvPicPr>
        <xdr:cNvPr id="38" name="Picture 37">
          <a:extLst>
            <a:ext uri="{FF2B5EF4-FFF2-40B4-BE49-F238E27FC236}">
              <a16:creationId xmlns:a16="http://schemas.microsoft.com/office/drawing/2014/main" id="{398DD3B1-5EDB-4A12-A036-521341CE33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95339" y="614149"/>
          <a:ext cx="508577" cy="508577"/>
        </a:xfrm>
        <a:prstGeom prst="rect">
          <a:avLst/>
        </a:prstGeom>
      </xdr:spPr>
    </xdr:pic>
    <xdr:clientData/>
  </xdr:twoCellAnchor>
  <xdr:twoCellAnchor>
    <xdr:from>
      <xdr:col>5</xdr:col>
      <xdr:colOff>545910</xdr:colOff>
      <xdr:row>3</xdr:row>
      <xdr:rowOff>10369</xdr:rowOff>
    </xdr:from>
    <xdr:to>
      <xdr:col>8</xdr:col>
      <xdr:colOff>216089</xdr:colOff>
      <xdr:row>6</xdr:row>
      <xdr:rowOff>-1</xdr:rowOff>
    </xdr:to>
    <xdr:sp macro="" textlink="'Pivot Table'!A6">
      <xdr:nvSpPr>
        <xdr:cNvPr id="41" name="TextBox 40">
          <a:extLst>
            <a:ext uri="{FF2B5EF4-FFF2-40B4-BE49-F238E27FC236}">
              <a16:creationId xmlns:a16="http://schemas.microsoft.com/office/drawing/2014/main" id="{2BCCC1A8-9364-3FFA-FDB0-A502B3955C7B}"/>
            </a:ext>
          </a:extLst>
        </xdr:cNvPr>
        <xdr:cNvSpPr txBox="1"/>
      </xdr:nvSpPr>
      <xdr:spPr>
        <a:xfrm>
          <a:off x="3900985" y="590399"/>
          <a:ext cx="1683223" cy="56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026652-FD1A-444B-B15C-AD83EB5C0B79}"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t>₹1.2M</a:t>
          </a:fld>
          <a:endParaRPr lang="en-IN" sz="3200">
            <a:latin typeface="Segoe UI Black" panose="020B0A02040204020203" pitchFamily="34" charset="0"/>
            <a:ea typeface="Segoe UI Black" panose="020B0A02040204020203" pitchFamily="34" charset="0"/>
            <a:cs typeface="Times New Roman" panose="02020603050405020304" pitchFamily="18" charset="0"/>
          </a:endParaRPr>
        </a:p>
      </xdr:txBody>
    </xdr:sp>
    <xdr:clientData/>
  </xdr:twoCellAnchor>
  <xdr:twoCellAnchor>
    <xdr:from>
      <xdr:col>17</xdr:col>
      <xdr:colOff>477672</xdr:colOff>
      <xdr:row>3</xdr:row>
      <xdr:rowOff>34119</xdr:rowOff>
    </xdr:from>
    <xdr:to>
      <xdr:col>19</xdr:col>
      <xdr:colOff>523165</xdr:colOff>
      <xdr:row>6</xdr:row>
      <xdr:rowOff>11653</xdr:rowOff>
    </xdr:to>
    <xdr:sp macro="" textlink="'Pivot Table'!C6">
      <xdr:nvSpPr>
        <xdr:cNvPr id="43" name="TextBox 42">
          <a:extLst>
            <a:ext uri="{FF2B5EF4-FFF2-40B4-BE49-F238E27FC236}">
              <a16:creationId xmlns:a16="http://schemas.microsoft.com/office/drawing/2014/main" id="{D7F1FD69-AF6A-1D9B-097F-E67EC3D9EBFF}"/>
            </a:ext>
          </a:extLst>
        </xdr:cNvPr>
        <xdr:cNvSpPr txBox="1"/>
      </xdr:nvSpPr>
      <xdr:spPr>
        <a:xfrm>
          <a:off x="11884926" y="614149"/>
          <a:ext cx="1387523" cy="55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6F74D3-2DB6-499F-8682-C54ACFBB1A5F}"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11</xdr:col>
      <xdr:colOff>375313</xdr:colOff>
      <xdr:row>2</xdr:row>
      <xdr:rowOff>168068</xdr:rowOff>
    </xdr:from>
    <xdr:to>
      <xdr:col>14</xdr:col>
      <xdr:colOff>97808</xdr:colOff>
      <xdr:row>6</xdr:row>
      <xdr:rowOff>70857</xdr:rowOff>
    </xdr:to>
    <xdr:sp macro="" textlink="'Pivot Table'!B6">
      <xdr:nvSpPr>
        <xdr:cNvPr id="46" name="TextBox 45">
          <a:extLst>
            <a:ext uri="{FF2B5EF4-FFF2-40B4-BE49-F238E27FC236}">
              <a16:creationId xmlns:a16="http://schemas.microsoft.com/office/drawing/2014/main" id="{325340FB-66F3-49B2-B2F7-FB1EF098B5C9}"/>
            </a:ext>
          </a:extLst>
        </xdr:cNvPr>
        <xdr:cNvSpPr txBox="1"/>
      </xdr:nvSpPr>
      <xdr:spPr>
        <a:xfrm>
          <a:off x="7756477" y="554755"/>
          <a:ext cx="1735540" cy="676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38B39F-AFC7-4B6D-BF04-0519FEABB2F6}"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 ₹ 141 </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23</xdr:col>
      <xdr:colOff>540346</xdr:colOff>
      <xdr:row>3</xdr:row>
      <xdr:rowOff>130475</xdr:rowOff>
    </xdr:from>
    <xdr:to>
      <xdr:col>25</xdr:col>
      <xdr:colOff>235546</xdr:colOff>
      <xdr:row>5</xdr:row>
      <xdr:rowOff>105184</xdr:rowOff>
    </xdr:to>
    <xdr:sp macro="" textlink="'Pivot Table'!D6">
      <xdr:nvSpPr>
        <xdr:cNvPr id="47" name="TextBox 46">
          <a:extLst>
            <a:ext uri="{FF2B5EF4-FFF2-40B4-BE49-F238E27FC236}">
              <a16:creationId xmlns:a16="http://schemas.microsoft.com/office/drawing/2014/main" id="{50D9A607-34FD-4B9D-977C-3F7A8A33AC96}"/>
            </a:ext>
          </a:extLst>
        </xdr:cNvPr>
        <xdr:cNvSpPr txBox="1"/>
      </xdr:nvSpPr>
      <xdr:spPr>
        <a:xfrm>
          <a:off x="15973689" y="710505"/>
          <a:ext cx="1037230" cy="361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074EA-B5E2-4446-AA17-8EF334FB9705}"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5</xdr:col>
      <xdr:colOff>44239</xdr:colOff>
      <xdr:row>4</xdr:row>
      <xdr:rowOff>135339</xdr:rowOff>
    </xdr:from>
    <xdr:to>
      <xdr:col>9</xdr:col>
      <xdr:colOff>328568</xdr:colOff>
      <xdr:row>10</xdr:row>
      <xdr:rowOff>101219</xdr:rowOff>
    </xdr:to>
    <xdr:sp macro="" textlink="">
      <xdr:nvSpPr>
        <xdr:cNvPr id="48" name="TextBox 47">
          <a:extLst>
            <a:ext uri="{FF2B5EF4-FFF2-40B4-BE49-F238E27FC236}">
              <a16:creationId xmlns:a16="http://schemas.microsoft.com/office/drawing/2014/main" id="{F54F0F11-1EF7-85DC-BCFF-55EC186BF242}"/>
            </a:ext>
          </a:extLst>
        </xdr:cNvPr>
        <xdr:cNvSpPr txBox="1"/>
      </xdr:nvSpPr>
      <xdr:spPr>
        <a:xfrm>
          <a:off x="3399314" y="908712"/>
          <a:ext cx="2968388" cy="112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Segoe UI" panose="020B0502040204020203" pitchFamily="34" charset="0"/>
              <a:ea typeface="Segoe UI Black" panose="020B0A02040204020203" pitchFamily="34" charset="0"/>
              <a:cs typeface="Segoe UI" panose="020B0502040204020203" pitchFamily="34" charset="0"/>
            </a:rPr>
            <a:t>Total Sales</a:t>
          </a:r>
        </a:p>
      </xdr:txBody>
    </xdr:sp>
    <xdr:clientData/>
  </xdr:twoCellAnchor>
  <xdr:twoCellAnchor>
    <xdr:from>
      <xdr:col>10</xdr:col>
      <xdr:colOff>171309</xdr:colOff>
      <xdr:row>5</xdr:row>
      <xdr:rowOff>47963</xdr:rowOff>
    </xdr:from>
    <xdr:to>
      <xdr:col>16</xdr:col>
      <xdr:colOff>9583</xdr:colOff>
      <xdr:row>9</xdr:row>
      <xdr:rowOff>169777</xdr:rowOff>
    </xdr:to>
    <xdr:sp macro="" textlink="">
      <xdr:nvSpPr>
        <xdr:cNvPr id="49" name="TextBox 48">
          <a:extLst>
            <a:ext uri="{FF2B5EF4-FFF2-40B4-BE49-F238E27FC236}">
              <a16:creationId xmlns:a16="http://schemas.microsoft.com/office/drawing/2014/main" id="{88129E5E-33BD-4812-921B-25F2C8310C13}"/>
            </a:ext>
          </a:extLst>
        </xdr:cNvPr>
        <xdr:cNvSpPr txBox="1"/>
      </xdr:nvSpPr>
      <xdr:spPr>
        <a:xfrm>
          <a:off x="6881458" y="1014679"/>
          <a:ext cx="3864364" cy="895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Segoe UI" panose="020B0502040204020203" pitchFamily="34" charset="0"/>
              <a:ea typeface="Segoe UI Black" panose="020B0A02040204020203" pitchFamily="34" charset="0"/>
              <a:cs typeface="Segoe UI" panose="020B0502040204020203" pitchFamily="34" charset="0"/>
            </a:rPr>
            <a:t>Average Sales</a:t>
          </a:r>
        </a:p>
      </xdr:txBody>
    </xdr:sp>
    <xdr:clientData/>
  </xdr:twoCellAnchor>
  <xdr:twoCellAnchor>
    <xdr:from>
      <xdr:col>16</xdr:col>
      <xdr:colOff>149898</xdr:colOff>
      <xdr:row>5</xdr:row>
      <xdr:rowOff>12173</xdr:rowOff>
    </xdr:from>
    <xdr:to>
      <xdr:col>21</xdr:col>
      <xdr:colOff>339943</xdr:colOff>
      <xdr:row>10</xdr:row>
      <xdr:rowOff>0</xdr:rowOff>
    </xdr:to>
    <xdr:sp macro="" textlink="">
      <xdr:nvSpPr>
        <xdr:cNvPr id="51" name="TextBox 50">
          <a:extLst>
            <a:ext uri="{FF2B5EF4-FFF2-40B4-BE49-F238E27FC236}">
              <a16:creationId xmlns:a16="http://schemas.microsoft.com/office/drawing/2014/main" id="{A8BD4719-C935-4FD1-9635-B15E788F8D54}"/>
            </a:ext>
          </a:extLst>
        </xdr:cNvPr>
        <xdr:cNvSpPr txBox="1"/>
      </xdr:nvSpPr>
      <xdr:spPr>
        <a:xfrm>
          <a:off x="10886137" y="978889"/>
          <a:ext cx="3545119" cy="95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Segoe UI "/>
              <a:ea typeface="Segoe UI Black" panose="020B0A02040204020203" pitchFamily="34" charset="0"/>
            </a:rPr>
            <a:t>Number</a:t>
          </a:r>
          <a:r>
            <a:rPr lang="en-IN" sz="2800" b="1" baseline="0">
              <a:latin typeface="Segoe UI "/>
              <a:ea typeface="Segoe UI Black" panose="020B0A02040204020203" pitchFamily="34" charset="0"/>
            </a:rPr>
            <a:t> of Orders</a:t>
          </a:r>
          <a:endParaRPr lang="en-IN" sz="2800" b="1">
            <a:latin typeface="Segoe UI "/>
            <a:ea typeface="Segoe UI Black" panose="020B0A02040204020203" pitchFamily="34" charset="0"/>
          </a:endParaRPr>
        </a:p>
      </xdr:txBody>
    </xdr:sp>
    <xdr:clientData/>
  </xdr:twoCellAnchor>
  <xdr:twoCellAnchor>
    <xdr:from>
      <xdr:col>22</xdr:col>
      <xdr:colOff>254767</xdr:colOff>
      <xdr:row>5</xdr:row>
      <xdr:rowOff>125105</xdr:rowOff>
    </xdr:from>
    <xdr:to>
      <xdr:col>26</xdr:col>
      <xdr:colOff>665450</xdr:colOff>
      <xdr:row>9</xdr:row>
      <xdr:rowOff>72105</xdr:rowOff>
    </xdr:to>
    <xdr:sp macro="" textlink="">
      <xdr:nvSpPr>
        <xdr:cNvPr id="52" name="TextBox 51">
          <a:extLst>
            <a:ext uri="{FF2B5EF4-FFF2-40B4-BE49-F238E27FC236}">
              <a16:creationId xmlns:a16="http://schemas.microsoft.com/office/drawing/2014/main" id="{3DF74323-8657-49F5-8F2F-892DC920D1E9}"/>
            </a:ext>
          </a:extLst>
        </xdr:cNvPr>
        <xdr:cNvSpPr txBox="1"/>
      </xdr:nvSpPr>
      <xdr:spPr>
        <a:xfrm>
          <a:off x="15017095" y="1091821"/>
          <a:ext cx="3094743" cy="720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Segoe UI" panose="020B0502040204020203" pitchFamily="34" charset="0"/>
              <a:ea typeface="Segoe UI Black" panose="020B0A02040204020203" pitchFamily="34" charset="0"/>
              <a:cs typeface="Segoe UI" panose="020B0502040204020203" pitchFamily="34" charset="0"/>
            </a:rPr>
            <a:t>Average Rating</a:t>
          </a:r>
        </a:p>
      </xdr:txBody>
    </xdr:sp>
    <xdr:clientData/>
  </xdr:twoCellAnchor>
  <xdr:twoCellAnchor>
    <xdr:from>
      <xdr:col>4</xdr:col>
      <xdr:colOff>465046</xdr:colOff>
      <xdr:row>10</xdr:row>
      <xdr:rowOff>0</xdr:rowOff>
    </xdr:from>
    <xdr:to>
      <xdr:col>15</xdr:col>
      <xdr:colOff>409434</xdr:colOff>
      <xdr:row>51</xdr:row>
      <xdr:rowOff>34120</xdr:rowOff>
    </xdr:to>
    <xdr:sp macro="" textlink="">
      <xdr:nvSpPr>
        <xdr:cNvPr id="53" name="Rectangle: Rounded Corners 52">
          <a:extLst>
            <a:ext uri="{FF2B5EF4-FFF2-40B4-BE49-F238E27FC236}">
              <a16:creationId xmlns:a16="http://schemas.microsoft.com/office/drawing/2014/main" id="{E3C9E364-BCEE-468F-9138-44476FA6EF77}"/>
            </a:ext>
          </a:extLst>
        </xdr:cNvPr>
        <xdr:cNvSpPr/>
      </xdr:nvSpPr>
      <xdr:spPr>
        <a:xfrm>
          <a:off x="3149106" y="1933433"/>
          <a:ext cx="7325552" cy="7961194"/>
        </a:xfrm>
        <a:prstGeom prst="roundRect">
          <a:avLst>
            <a:gd name="adj" fmla="val 5776"/>
          </a:avLst>
        </a:prstGeom>
        <a:solidFill>
          <a:schemeClr val="bg1"/>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56576</xdr:colOff>
      <xdr:row>13</xdr:row>
      <xdr:rowOff>193342</xdr:rowOff>
    </xdr:from>
    <xdr:to>
      <xdr:col>9</xdr:col>
      <xdr:colOff>567405</xdr:colOff>
      <xdr:row>27</xdr:row>
      <xdr:rowOff>-1</xdr:rowOff>
    </xdr:to>
    <xdr:graphicFrame macro="">
      <xdr:nvGraphicFramePr>
        <xdr:cNvPr id="56" name="Chart 55">
          <a:extLst>
            <a:ext uri="{FF2B5EF4-FFF2-40B4-BE49-F238E27FC236}">
              <a16:creationId xmlns:a16="http://schemas.microsoft.com/office/drawing/2014/main" id="{4A5906E6-C718-4605-9FCF-1BFC31F20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9</xdr:row>
      <xdr:rowOff>181150</xdr:rowOff>
    </xdr:from>
    <xdr:to>
      <xdr:col>9</xdr:col>
      <xdr:colOff>296954</xdr:colOff>
      <xdr:row>13</xdr:row>
      <xdr:rowOff>101539</xdr:rowOff>
    </xdr:to>
    <xdr:sp macro="" textlink="">
      <xdr:nvSpPr>
        <xdr:cNvPr id="58" name="TextBox 57">
          <a:extLst>
            <a:ext uri="{FF2B5EF4-FFF2-40B4-BE49-F238E27FC236}">
              <a16:creationId xmlns:a16="http://schemas.microsoft.com/office/drawing/2014/main" id="{32439C99-554A-4C98-B2DB-1598230459A9}"/>
            </a:ext>
          </a:extLst>
        </xdr:cNvPr>
        <xdr:cNvSpPr txBox="1"/>
      </xdr:nvSpPr>
      <xdr:spPr>
        <a:xfrm>
          <a:off x="3355075" y="1921240"/>
          <a:ext cx="2981013" cy="69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Black" panose="020B0A02040204020203" pitchFamily="34" charset="0"/>
              <a:ea typeface="Segoe UI Black" panose="020B0A02040204020203" pitchFamily="34" charset="0"/>
            </a:rPr>
            <a:t>Sales by Font Content</a:t>
          </a:r>
        </a:p>
      </xdr:txBody>
    </xdr:sp>
    <xdr:clientData/>
  </xdr:twoCellAnchor>
  <xdr:twoCellAnchor>
    <xdr:from>
      <xdr:col>9</xdr:col>
      <xdr:colOff>625522</xdr:colOff>
      <xdr:row>13</xdr:row>
      <xdr:rowOff>1</xdr:rowOff>
    </xdr:from>
    <xdr:to>
      <xdr:col>15</xdr:col>
      <xdr:colOff>295701</xdr:colOff>
      <xdr:row>50</xdr:row>
      <xdr:rowOff>68240</xdr:rowOff>
    </xdr:to>
    <xdr:graphicFrame macro="">
      <xdr:nvGraphicFramePr>
        <xdr:cNvPr id="59" name="Chart 58">
          <a:extLst>
            <a:ext uri="{FF2B5EF4-FFF2-40B4-BE49-F238E27FC236}">
              <a16:creationId xmlns:a16="http://schemas.microsoft.com/office/drawing/2014/main" id="{8D501BB1-DF18-464E-9E64-17EA4535F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511790</xdr:colOff>
      <xdr:row>32</xdr:row>
      <xdr:rowOff>150000</xdr:rowOff>
    </xdr:from>
    <xdr:to>
      <xdr:col>10</xdr:col>
      <xdr:colOff>68238</xdr:colOff>
      <xdr:row>50</xdr:row>
      <xdr:rowOff>56866</xdr:rowOff>
    </xdr:to>
    <xdr:graphicFrame macro="">
      <xdr:nvGraphicFramePr>
        <xdr:cNvPr id="60" name="Chart 59">
          <a:extLst>
            <a:ext uri="{FF2B5EF4-FFF2-40B4-BE49-F238E27FC236}">
              <a16:creationId xmlns:a16="http://schemas.microsoft.com/office/drawing/2014/main" id="{44C2DC17-41F1-495D-A033-D7ECBFACE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29</xdr:row>
      <xdr:rowOff>79611</xdr:rowOff>
    </xdr:from>
    <xdr:to>
      <xdr:col>9</xdr:col>
      <xdr:colOff>296954</xdr:colOff>
      <xdr:row>33</xdr:row>
      <xdr:rowOff>0</xdr:rowOff>
    </xdr:to>
    <xdr:sp macro="" textlink="">
      <xdr:nvSpPr>
        <xdr:cNvPr id="61" name="TextBox 60">
          <a:extLst>
            <a:ext uri="{FF2B5EF4-FFF2-40B4-BE49-F238E27FC236}">
              <a16:creationId xmlns:a16="http://schemas.microsoft.com/office/drawing/2014/main" id="{166C6B96-BFC2-4B3A-8DBC-AF5095C30F2F}"/>
            </a:ext>
          </a:extLst>
        </xdr:cNvPr>
        <xdr:cNvSpPr txBox="1"/>
      </xdr:nvSpPr>
      <xdr:spPr>
        <a:xfrm>
          <a:off x="3355075" y="5686566"/>
          <a:ext cx="2981013" cy="69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Black" panose="020B0A02040204020203" pitchFamily="34" charset="0"/>
              <a:ea typeface="Segoe UI Black" panose="020B0A02040204020203" pitchFamily="34" charset="0"/>
            </a:rPr>
            <a:t>Sales by Location</a:t>
          </a:r>
        </a:p>
      </xdr:txBody>
    </xdr:sp>
    <xdr:clientData/>
  </xdr:twoCellAnchor>
  <xdr:twoCellAnchor>
    <xdr:from>
      <xdr:col>10</xdr:col>
      <xdr:colOff>283789</xdr:colOff>
      <xdr:row>9</xdr:row>
      <xdr:rowOff>169776</xdr:rowOff>
    </xdr:from>
    <xdr:to>
      <xdr:col>14</xdr:col>
      <xdr:colOff>580742</xdr:colOff>
      <xdr:row>13</xdr:row>
      <xdr:rowOff>90165</xdr:rowOff>
    </xdr:to>
    <xdr:sp macro="" textlink="">
      <xdr:nvSpPr>
        <xdr:cNvPr id="62" name="TextBox 61">
          <a:extLst>
            <a:ext uri="{FF2B5EF4-FFF2-40B4-BE49-F238E27FC236}">
              <a16:creationId xmlns:a16="http://schemas.microsoft.com/office/drawing/2014/main" id="{4FC8C33D-862E-4464-9977-EDFD803F3F81}"/>
            </a:ext>
          </a:extLst>
        </xdr:cNvPr>
        <xdr:cNvSpPr txBox="1"/>
      </xdr:nvSpPr>
      <xdr:spPr>
        <a:xfrm>
          <a:off x="6993938" y="1909866"/>
          <a:ext cx="2981013" cy="69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Black" panose="020B0A02040204020203" pitchFamily="34" charset="0"/>
              <a:ea typeface="Segoe UI Black" panose="020B0A02040204020203" pitchFamily="34" charset="0"/>
            </a:rPr>
            <a:t>Sales by Item Type</a:t>
          </a:r>
        </a:p>
      </xdr:txBody>
    </xdr:sp>
    <xdr:clientData/>
  </xdr:twoCellAnchor>
  <xdr:twoCellAnchor>
    <xdr:from>
      <xdr:col>4</xdr:col>
      <xdr:colOff>511790</xdr:colOff>
      <xdr:row>29</xdr:row>
      <xdr:rowOff>0</xdr:rowOff>
    </xdr:from>
    <xdr:to>
      <xdr:col>9</xdr:col>
      <xdr:colOff>567405</xdr:colOff>
      <xdr:row>29</xdr:row>
      <xdr:rowOff>0</xdr:rowOff>
    </xdr:to>
    <xdr:cxnSp macro="">
      <xdr:nvCxnSpPr>
        <xdr:cNvPr id="66" name="Straight Connector 65">
          <a:extLst>
            <a:ext uri="{FF2B5EF4-FFF2-40B4-BE49-F238E27FC236}">
              <a16:creationId xmlns:a16="http://schemas.microsoft.com/office/drawing/2014/main" id="{57E515A7-7B3E-DAC5-4414-4E83123808F7}"/>
            </a:ext>
          </a:extLst>
        </xdr:cNvPr>
        <xdr:cNvCxnSpPr/>
      </xdr:nvCxnSpPr>
      <xdr:spPr>
        <a:xfrm>
          <a:off x="3195850" y="5606955"/>
          <a:ext cx="3410689" cy="0"/>
        </a:xfrm>
        <a:prstGeom prst="line">
          <a:avLst/>
        </a:pr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567406</xdr:colOff>
      <xdr:row>10</xdr:row>
      <xdr:rowOff>101219</xdr:rowOff>
    </xdr:from>
    <xdr:to>
      <xdr:col>9</xdr:col>
      <xdr:colOff>567406</xdr:colOff>
      <xdr:row>51</xdr:row>
      <xdr:rowOff>0</xdr:rowOff>
    </xdr:to>
    <xdr:cxnSp macro="">
      <xdr:nvCxnSpPr>
        <xdr:cNvPr id="70" name="Straight Connector 69">
          <a:extLst>
            <a:ext uri="{FF2B5EF4-FFF2-40B4-BE49-F238E27FC236}">
              <a16:creationId xmlns:a16="http://schemas.microsoft.com/office/drawing/2014/main" id="{7A4189CD-1887-4D32-A636-E25E087ED0CC}"/>
            </a:ext>
          </a:extLst>
        </xdr:cNvPr>
        <xdr:cNvCxnSpPr/>
      </xdr:nvCxnSpPr>
      <xdr:spPr>
        <a:xfrm>
          <a:off x="6606540" y="2034652"/>
          <a:ext cx="0" cy="7825855"/>
        </a:xfrm>
        <a:prstGeom prst="line">
          <a:avLst/>
        </a:pr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245667</xdr:colOff>
      <xdr:row>10</xdr:row>
      <xdr:rowOff>101219</xdr:rowOff>
    </xdr:from>
    <xdr:to>
      <xdr:col>27</xdr:col>
      <xdr:colOff>190055</xdr:colOff>
      <xdr:row>51</xdr:row>
      <xdr:rowOff>0</xdr:rowOff>
    </xdr:to>
    <xdr:sp macro="" textlink="">
      <xdr:nvSpPr>
        <xdr:cNvPr id="78" name="Rectangle: Rounded Corners 77">
          <a:extLst>
            <a:ext uri="{FF2B5EF4-FFF2-40B4-BE49-F238E27FC236}">
              <a16:creationId xmlns:a16="http://schemas.microsoft.com/office/drawing/2014/main" id="{E4F39A12-9F11-44D8-9E3E-D6155CE034BE}"/>
            </a:ext>
          </a:extLst>
        </xdr:cNvPr>
        <xdr:cNvSpPr/>
      </xdr:nvSpPr>
      <xdr:spPr>
        <a:xfrm>
          <a:off x="10981906" y="2034652"/>
          <a:ext cx="7325552" cy="7825855"/>
        </a:xfrm>
        <a:prstGeom prst="roundRect">
          <a:avLst>
            <a:gd name="adj" fmla="val 5776"/>
          </a:avLst>
        </a:prstGeom>
        <a:solidFill>
          <a:schemeClr val="bg1">
            <a:alpha val="43000"/>
          </a:schemeClr>
        </a:solidFill>
        <a:ln w="44450">
          <a:solidFill>
            <a:schemeClr val="tx1">
              <a:alpha val="9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424349</xdr:colOff>
      <xdr:row>14</xdr:row>
      <xdr:rowOff>0</xdr:rowOff>
    </xdr:from>
    <xdr:to>
      <xdr:col>27</xdr:col>
      <xdr:colOff>0</xdr:colOff>
      <xdr:row>26</xdr:row>
      <xdr:rowOff>1</xdr:rowOff>
    </xdr:to>
    <xdr:graphicFrame macro="">
      <xdr:nvGraphicFramePr>
        <xdr:cNvPr id="79" name="Chart 78">
          <a:extLst>
            <a:ext uri="{FF2B5EF4-FFF2-40B4-BE49-F238E27FC236}">
              <a16:creationId xmlns:a16="http://schemas.microsoft.com/office/drawing/2014/main" id="{91BAAA23-388C-468B-843A-D7681B0C2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295701</xdr:colOff>
      <xdr:row>10</xdr:row>
      <xdr:rowOff>79610</xdr:rowOff>
    </xdr:from>
    <xdr:to>
      <xdr:col>24</xdr:col>
      <xdr:colOff>440262</xdr:colOff>
      <xdr:row>13</xdr:row>
      <xdr:rowOff>193342</xdr:rowOff>
    </xdr:to>
    <xdr:sp macro="" textlink="">
      <xdr:nvSpPr>
        <xdr:cNvPr id="80" name="TextBox 79">
          <a:extLst>
            <a:ext uri="{FF2B5EF4-FFF2-40B4-BE49-F238E27FC236}">
              <a16:creationId xmlns:a16="http://schemas.microsoft.com/office/drawing/2014/main" id="{99239675-38D6-460F-A651-97623EB44018}"/>
            </a:ext>
          </a:extLst>
        </xdr:cNvPr>
        <xdr:cNvSpPr txBox="1"/>
      </xdr:nvSpPr>
      <xdr:spPr>
        <a:xfrm>
          <a:off x="13044985" y="2013043"/>
          <a:ext cx="3499635" cy="69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Black" panose="020B0A02040204020203" pitchFamily="34" charset="0"/>
              <a:ea typeface="Segoe UI Black" panose="020B0A02040204020203" pitchFamily="34" charset="0"/>
            </a:rPr>
            <a:t>Sales by</a:t>
          </a:r>
          <a:r>
            <a:rPr lang="en-IN" sz="1600" baseline="0">
              <a:latin typeface="Segoe UI Black" panose="020B0A02040204020203" pitchFamily="34" charset="0"/>
              <a:ea typeface="Segoe UI Black" panose="020B0A02040204020203" pitchFamily="34" charset="0"/>
            </a:rPr>
            <a:t> Outlet Establishment </a:t>
          </a:r>
          <a:endParaRPr lang="en-IN" sz="1600">
            <a:latin typeface="Segoe UI Black" panose="020B0A02040204020203" pitchFamily="34" charset="0"/>
            <a:ea typeface="Segoe UI Black" panose="020B0A02040204020203" pitchFamily="34" charset="0"/>
          </a:endParaRPr>
        </a:p>
      </xdr:txBody>
    </xdr:sp>
    <xdr:clientData/>
  </xdr:twoCellAnchor>
  <xdr:twoCellAnchor>
    <xdr:from>
      <xdr:col>16</xdr:col>
      <xdr:colOff>424349</xdr:colOff>
      <xdr:row>31</xdr:row>
      <xdr:rowOff>0</xdr:rowOff>
    </xdr:from>
    <xdr:to>
      <xdr:col>21</xdr:col>
      <xdr:colOff>0</xdr:colOff>
      <xdr:row>50</xdr:row>
      <xdr:rowOff>170597</xdr:rowOff>
    </xdr:to>
    <xdr:graphicFrame macro="">
      <xdr:nvGraphicFramePr>
        <xdr:cNvPr id="81" name="Chart 80">
          <a:extLst>
            <a:ext uri="{FF2B5EF4-FFF2-40B4-BE49-F238E27FC236}">
              <a16:creationId xmlns:a16="http://schemas.microsoft.com/office/drawing/2014/main" id="{01A85FDE-AD9E-4128-9B85-AF6FF5E74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9583</xdr:colOff>
      <xdr:row>27</xdr:row>
      <xdr:rowOff>68239</xdr:rowOff>
    </xdr:from>
    <xdr:to>
      <xdr:col>21</xdr:col>
      <xdr:colOff>154144</xdr:colOff>
      <xdr:row>30</xdr:row>
      <xdr:rowOff>181971</xdr:rowOff>
    </xdr:to>
    <xdr:sp macro="" textlink="">
      <xdr:nvSpPr>
        <xdr:cNvPr id="82" name="TextBox 81">
          <a:extLst>
            <a:ext uri="{FF2B5EF4-FFF2-40B4-BE49-F238E27FC236}">
              <a16:creationId xmlns:a16="http://schemas.microsoft.com/office/drawing/2014/main" id="{24832398-C0EA-4E52-BD20-BDDCACA23942}"/>
            </a:ext>
          </a:extLst>
        </xdr:cNvPr>
        <xdr:cNvSpPr txBox="1"/>
      </xdr:nvSpPr>
      <xdr:spPr>
        <a:xfrm>
          <a:off x="10745822" y="5288508"/>
          <a:ext cx="3499635" cy="69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Black" panose="020B0A02040204020203" pitchFamily="34" charset="0"/>
              <a:ea typeface="Segoe UI Black" panose="020B0A02040204020203" pitchFamily="34" charset="0"/>
            </a:rPr>
            <a:t>   Sales by</a:t>
          </a:r>
          <a:r>
            <a:rPr lang="en-IN" sz="1600" baseline="0">
              <a:latin typeface="Segoe UI Black" panose="020B0A02040204020203" pitchFamily="34" charset="0"/>
              <a:ea typeface="Segoe UI Black" panose="020B0A02040204020203" pitchFamily="34" charset="0"/>
            </a:rPr>
            <a:t> Outlet Size</a:t>
          </a:r>
          <a:endParaRPr lang="en-IN" sz="1600">
            <a:latin typeface="Segoe UI Black" panose="020B0A02040204020203" pitchFamily="34" charset="0"/>
            <a:ea typeface="Segoe UI Black" panose="020B0A02040204020203" pitchFamily="34" charset="0"/>
          </a:endParaRPr>
        </a:p>
      </xdr:txBody>
    </xdr:sp>
    <xdr:clientData/>
  </xdr:twoCellAnchor>
  <xdr:twoCellAnchor>
    <xdr:from>
      <xdr:col>21</xdr:col>
      <xdr:colOff>339943</xdr:colOff>
      <xdr:row>30</xdr:row>
      <xdr:rowOff>181971</xdr:rowOff>
    </xdr:from>
    <xdr:to>
      <xdr:col>27</xdr:col>
      <xdr:colOff>54610</xdr:colOff>
      <xdr:row>50</xdr:row>
      <xdr:rowOff>68239</xdr:rowOff>
    </xdr:to>
    <xdr:graphicFrame macro="">
      <xdr:nvGraphicFramePr>
        <xdr:cNvPr id="83" name="Chart 82">
          <a:extLst>
            <a:ext uri="{FF2B5EF4-FFF2-40B4-BE49-F238E27FC236}">
              <a16:creationId xmlns:a16="http://schemas.microsoft.com/office/drawing/2014/main" id="{35D31548-BFE1-4CA2-A836-304E18EC1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399556</xdr:colOff>
      <xdr:row>27</xdr:row>
      <xdr:rowOff>79611</xdr:rowOff>
    </xdr:from>
    <xdr:to>
      <xdr:col>26</xdr:col>
      <xdr:colOff>544116</xdr:colOff>
      <xdr:row>31</xdr:row>
      <xdr:rowOff>0</xdr:rowOff>
    </xdr:to>
    <xdr:sp macro="" textlink="">
      <xdr:nvSpPr>
        <xdr:cNvPr id="84" name="TextBox 83">
          <a:extLst>
            <a:ext uri="{FF2B5EF4-FFF2-40B4-BE49-F238E27FC236}">
              <a16:creationId xmlns:a16="http://schemas.microsoft.com/office/drawing/2014/main" id="{9DCF3A36-E2CA-4F05-82D7-21EF5A631DA3}"/>
            </a:ext>
          </a:extLst>
        </xdr:cNvPr>
        <xdr:cNvSpPr txBox="1"/>
      </xdr:nvSpPr>
      <xdr:spPr>
        <a:xfrm>
          <a:off x="14490869" y="5299880"/>
          <a:ext cx="3499635" cy="69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Black" panose="020B0A02040204020203" pitchFamily="34" charset="0"/>
              <a:ea typeface="Segoe UI Black" panose="020B0A02040204020203" pitchFamily="34" charset="0"/>
            </a:rPr>
            <a:t>   Sales by</a:t>
          </a:r>
          <a:r>
            <a:rPr lang="en-IN" sz="1600" baseline="0">
              <a:latin typeface="Segoe UI Black" panose="020B0A02040204020203" pitchFamily="34" charset="0"/>
              <a:ea typeface="Segoe UI Black" panose="020B0A02040204020203" pitchFamily="34" charset="0"/>
            </a:rPr>
            <a:t> Outlet Type</a:t>
          </a:r>
          <a:endParaRPr lang="en-IN" sz="1600">
            <a:latin typeface="Segoe UI Black" panose="020B0A02040204020203" pitchFamily="34" charset="0"/>
            <a:ea typeface="Segoe UI Black" panose="020B0A02040204020203" pitchFamily="34" charset="0"/>
          </a:endParaRPr>
        </a:p>
      </xdr:txBody>
    </xdr:sp>
    <xdr:clientData/>
  </xdr:twoCellAnchor>
  <xdr:twoCellAnchor>
    <xdr:from>
      <xdr:col>21</xdr:col>
      <xdr:colOff>195391</xdr:colOff>
      <xdr:row>27</xdr:row>
      <xdr:rowOff>68239</xdr:rowOff>
    </xdr:from>
    <xdr:to>
      <xdr:col>21</xdr:col>
      <xdr:colOff>195391</xdr:colOff>
      <xdr:row>51</xdr:row>
      <xdr:rowOff>0</xdr:rowOff>
    </xdr:to>
    <xdr:cxnSp macro="">
      <xdr:nvCxnSpPr>
        <xdr:cNvPr id="85" name="Straight Connector 84">
          <a:extLst>
            <a:ext uri="{FF2B5EF4-FFF2-40B4-BE49-F238E27FC236}">
              <a16:creationId xmlns:a16="http://schemas.microsoft.com/office/drawing/2014/main" id="{FDC35A29-4BC7-4509-AB27-A6CD4C3D2FA2}"/>
            </a:ext>
          </a:extLst>
        </xdr:cNvPr>
        <xdr:cNvCxnSpPr/>
      </xdr:nvCxnSpPr>
      <xdr:spPr>
        <a:xfrm>
          <a:off x="14286704" y="5288508"/>
          <a:ext cx="0" cy="4571999"/>
        </a:xfrm>
        <a:prstGeom prst="line">
          <a:avLst/>
        </a:pr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218136</xdr:colOff>
      <xdr:row>27</xdr:row>
      <xdr:rowOff>68239</xdr:rowOff>
    </xdr:from>
    <xdr:to>
      <xdr:col>27</xdr:col>
      <xdr:colOff>268179</xdr:colOff>
      <xdr:row>27</xdr:row>
      <xdr:rowOff>68239</xdr:rowOff>
    </xdr:to>
    <xdr:cxnSp macro="">
      <xdr:nvCxnSpPr>
        <xdr:cNvPr id="87" name="Straight Connector 86">
          <a:extLst>
            <a:ext uri="{FF2B5EF4-FFF2-40B4-BE49-F238E27FC236}">
              <a16:creationId xmlns:a16="http://schemas.microsoft.com/office/drawing/2014/main" id="{3AAEDDB3-9F6D-4440-9735-5729760A3986}"/>
            </a:ext>
          </a:extLst>
        </xdr:cNvPr>
        <xdr:cNvCxnSpPr/>
      </xdr:nvCxnSpPr>
      <xdr:spPr>
        <a:xfrm>
          <a:off x="10954375" y="5288508"/>
          <a:ext cx="7431207" cy="0"/>
        </a:xfrm>
        <a:prstGeom prst="line">
          <a:avLst/>
        </a:prstGeom>
        <a:ln>
          <a:solidFill>
            <a:schemeClr val="bg1">
              <a:lumMod val="75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106456</xdr:colOff>
      <xdr:row>10</xdr:row>
      <xdr:rowOff>49589</xdr:rowOff>
    </xdr:from>
    <xdr:to>
      <xdr:col>2</xdr:col>
      <xdr:colOff>0</xdr:colOff>
      <xdr:row>13</xdr:row>
      <xdr:rowOff>34118</xdr:rowOff>
    </xdr:to>
    <xdr:pic>
      <xdr:nvPicPr>
        <xdr:cNvPr id="96" name="Graphic 95" descr="Checklist with solid fill">
          <a:extLst>
            <a:ext uri="{FF2B5EF4-FFF2-40B4-BE49-F238E27FC236}">
              <a16:creationId xmlns:a16="http://schemas.microsoft.com/office/drawing/2014/main" id="{7F626C68-C091-C876-3699-BA7BB5C4F9E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7471" y="1983022"/>
          <a:ext cx="564559" cy="564559"/>
        </a:xfrm>
        <a:prstGeom prst="rect">
          <a:avLst/>
        </a:prstGeom>
      </xdr:spPr>
    </xdr:pic>
    <xdr:clientData/>
  </xdr:twoCellAnchor>
  <xdr:twoCellAnchor>
    <xdr:from>
      <xdr:col>1</xdr:col>
      <xdr:colOff>601584</xdr:colOff>
      <xdr:row>10</xdr:row>
      <xdr:rowOff>170597</xdr:rowOff>
    </xdr:from>
    <xdr:to>
      <xdr:col>4</xdr:col>
      <xdr:colOff>158029</xdr:colOff>
      <xdr:row>12</xdr:row>
      <xdr:rowOff>170598</xdr:rowOff>
    </xdr:to>
    <xdr:sp macro="" textlink="">
      <xdr:nvSpPr>
        <xdr:cNvPr id="97" name="TextBox 96">
          <a:extLst>
            <a:ext uri="{FF2B5EF4-FFF2-40B4-BE49-F238E27FC236}">
              <a16:creationId xmlns:a16="http://schemas.microsoft.com/office/drawing/2014/main" id="{ACA38D80-47AB-467D-163D-7307EE1C6877}"/>
            </a:ext>
          </a:extLst>
        </xdr:cNvPr>
        <xdr:cNvSpPr txBox="1"/>
      </xdr:nvSpPr>
      <xdr:spPr>
        <a:xfrm>
          <a:off x="1272599" y="2104030"/>
          <a:ext cx="1569490" cy="38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Black" panose="020B0A02040204020203" pitchFamily="34" charset="0"/>
              <a:ea typeface="Segoe UI Black" panose="020B0A02040204020203" pitchFamily="34" charset="0"/>
              <a:cs typeface="Segoe UI" panose="020B0502040204020203" pitchFamily="34" charset="0"/>
            </a:rPr>
            <a:t>Filter Panel</a:t>
          </a:r>
        </a:p>
      </xdr:txBody>
    </xdr:sp>
    <xdr:clientData/>
  </xdr:twoCellAnchor>
  <xdr:twoCellAnchor editAs="oneCell">
    <xdr:from>
      <xdr:col>1</xdr:col>
      <xdr:colOff>23940</xdr:colOff>
      <xdr:row>31</xdr:row>
      <xdr:rowOff>113589</xdr:rowOff>
    </xdr:from>
    <xdr:to>
      <xdr:col>4</xdr:col>
      <xdr:colOff>158028</xdr:colOff>
      <xdr:row>49</xdr:row>
      <xdr:rowOff>0</xdr:rowOff>
    </xdr:to>
    <mc:AlternateContent xmlns:mc="http://schemas.openxmlformats.org/markup-compatibility/2006">
      <mc:Choice xmlns:a14="http://schemas.microsoft.com/office/drawing/2010/main" Requires="a14">
        <xdr:graphicFrame macro="">
          <xdr:nvGraphicFramePr>
            <xdr:cNvPr id="98" name="Item Type">
              <a:extLst>
                <a:ext uri="{FF2B5EF4-FFF2-40B4-BE49-F238E27FC236}">
                  <a16:creationId xmlns:a16="http://schemas.microsoft.com/office/drawing/2014/main" id="{D90965E8-1EE6-4D71-8CD3-537794E7689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92155" y="6291651"/>
              <a:ext cx="2138735" cy="3473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3.094165740738" createdVersion="8" refreshedVersion="8" minRefreshableVersion="3" recordCount="8523" xr:uid="{9CCDBB6F-4C87-429C-A982-B021F8FA2A2D}">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1">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69559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999999999999"/>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8"/>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F7DF94-46CF-4519-9DCA-86C4E1B81237}" name="PivotTable1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7:I52"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showAll="0"/>
  </pivotFields>
  <rowFields count="1">
    <field x="8"/>
  </rowFields>
  <rowItems count="5">
    <i>
      <x v="3"/>
    </i>
    <i>
      <x v="2"/>
    </i>
    <i>
      <x/>
    </i>
    <i>
      <x v="1"/>
    </i>
    <i t="grand">
      <x/>
    </i>
  </rowItems>
  <colItems count="1">
    <i/>
  </colItems>
  <dataFields count="1">
    <dataField name="Sum of Sales" fld="11" baseField="0" baseItem="0" numFmtId="168"/>
  </dataFields>
  <formats count="12">
    <format dxfId="2">
      <pivotArea type="all" dataOnly="0" outline="0" fieldPosition="0"/>
    </format>
    <format dxfId="3">
      <pivotArea outline="0" collapsedLevelsAreSubtotals="1" fieldPosition="0"/>
    </format>
    <format dxfId="4">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 dxfId="6">
      <pivotArea type="all" dataOnly="0" outline="0" fieldPosition="0"/>
    </format>
    <format dxfId="7">
      <pivotArea outline="0" collapsedLevelsAreSubtotals="1" fieldPosition="0"/>
    </format>
    <format dxfId="8">
      <pivotArea field="8" type="button" dataOnly="0" labelOnly="1" outline="0" axis="axisRow" fieldPosition="0"/>
    </format>
    <format dxfId="9">
      <pivotArea dataOnly="0" labelOnly="1" fieldPosition="0">
        <references count="1">
          <reference field="8" count="0"/>
        </references>
      </pivotArea>
    </format>
    <format dxfId="10">
      <pivotArea dataOnly="0" labelOnly="1" grandRow="1" outline="0" fieldPosition="0"/>
    </format>
    <format dxfId="11">
      <pivotArea dataOnly="0" labelOnly="1" outline="0" fieldPosition="0">
        <references count="1">
          <reference field="4294967294" count="1">
            <x v="0"/>
          </reference>
        </references>
      </pivotArea>
    </format>
    <format dxfId="12">
      <pivotArea collapsedLevelsAreSubtotals="1" fieldPosition="0">
        <references count="2">
          <reference field="4294967294" count="1" selected="0">
            <x v="0"/>
          </reference>
          <reference field="8" count="0"/>
        </references>
      </pivotArea>
    </format>
    <format dxfId="13">
      <pivotArea field="8" grandRow="1" outline="0" collapsedLevelsAreSubtotals="1" axis="axisRow" fieldPosition="0">
        <references count="1">
          <reference field="4294967294" count="1" selected="0">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C7668-9C07-4936-9B19-B9C515EDBA2A}" name="PivotTable1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33:M37" firstHeaderRow="1" firstDataRow="1" firstDataCol="1"/>
  <pivotFields count="13">
    <pivotField showAll="0">
      <items count="3">
        <item x="1"/>
        <item x="0"/>
        <item t="default"/>
      </items>
    </pivotField>
    <pivotField showAll="0"/>
    <pivotField showAll="0"/>
    <pivotField showAll="0"/>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numFmtId="1" showAll="0"/>
    <pivotField showAll="0"/>
  </pivotFields>
  <rowFields count="1">
    <field x="7"/>
  </rowFields>
  <rowItems count="4">
    <i>
      <x/>
    </i>
    <i>
      <x v="1"/>
    </i>
    <i>
      <x v="2"/>
    </i>
    <i t="grand">
      <x/>
    </i>
  </rowItems>
  <colItems count="1">
    <i/>
  </colItems>
  <dataFields count="1">
    <dataField name="Sum of Sales" fld="11" baseField="0" baseItem="0" numFmtId="184"/>
  </dataFields>
  <formats count="15">
    <format dxfId="16">
      <pivotArea type="all" dataOnly="0" outline="0" fieldPosition="0"/>
    </format>
    <format dxfId="17">
      <pivotArea outline="0" collapsedLevelsAreSubtotals="1" fieldPosition="0"/>
    </format>
    <format dxfId="18">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 dxfId="20">
      <pivotArea type="all" dataOnly="0" outline="0" fieldPosition="0"/>
    </format>
    <format dxfId="21">
      <pivotArea outline="0" collapsedLevelsAreSubtotals="1" fieldPosition="0"/>
    </format>
    <format dxfId="22">
      <pivotArea field="0" type="button" dataOnly="0" labelOnly="1" outline="0"/>
    </format>
    <format dxfId="23">
      <pivotArea dataOnly="0" labelOnly="1" outline="0" fieldPosition="0">
        <references count="1">
          <reference field="4294967294" count="1">
            <x v="0"/>
          </reference>
        </references>
      </pivotArea>
    </format>
    <format dxfId="24">
      <pivotArea outline="0" collapsedLevelsAreSubtotals="1" fieldPosition="0"/>
    </format>
    <format dxfId="25">
      <pivotArea dataOnly="0" labelOnly="1" outline="0" axis="axisValues" fieldPosition="0"/>
    </format>
    <format dxfId="26">
      <pivotArea type="all" dataOnly="0" outline="0" fieldPosition="0"/>
    </format>
    <format dxfId="27">
      <pivotArea outline="0" collapsedLevelsAreSubtotals="1" fieldPosition="0"/>
    </format>
    <format dxfId="28">
      <pivotArea field="4" type="button" dataOnly="0" labelOnly="1" outline="0"/>
    </format>
    <format dxfId="29">
      <pivotArea dataOnly="0" labelOnly="1" grandRow="1" outline="0" fieldPosition="0"/>
    </format>
    <format dxfId="30">
      <pivotArea dataOnly="0" labelOnly="1" outline="0" axis="axisValues" fieldPosition="0"/>
    </format>
  </formats>
  <chartFormats count="7">
    <chartFormat chart="12"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7" count="1" selected="0">
            <x v="0"/>
          </reference>
        </references>
      </pivotArea>
    </chartFormat>
    <chartFormat chart="25" format="10">
      <pivotArea type="data" outline="0" fieldPosition="0">
        <references count="2">
          <reference field="4294967294" count="1" selected="0">
            <x v="0"/>
          </reference>
          <reference field="7" count="1" selected="0">
            <x v="1"/>
          </reference>
        </references>
      </pivotArea>
    </chartFormat>
    <chartFormat chart="2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85E41C-4B85-4E6E-9D3D-E39D13D263CF}" name="PivotTable1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33:I43" firstHeaderRow="1" firstDataRow="1" firstDataCol="1"/>
  <pivotFields count="13">
    <pivotField showAll="0">
      <items count="3">
        <item x="1"/>
        <item x="0"/>
        <item t="default"/>
      </items>
    </pivotField>
    <pivotField showAll="0"/>
    <pivotField showAll="0"/>
    <pivotField showAll="0"/>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84"/>
  </dataFields>
  <formats count="16">
    <format dxfId="46">
      <pivotArea type="all" dataOnly="0" outline="0" fieldPosition="0"/>
    </format>
    <format dxfId="47">
      <pivotArea outline="0" collapsedLevelsAreSubtotals="1" fieldPosition="0"/>
    </format>
    <format dxfId="48">
      <pivotArea outline="0" collapsedLevelsAreSubtotals="1" fieldPosition="0">
        <references count="1">
          <reference field="4294967294" count="1" selected="0">
            <x v="0"/>
          </reference>
        </references>
      </pivotArea>
    </format>
    <format dxfId="49">
      <pivotArea dataOnly="0" labelOnly="1" outline="0" fieldPosition="0">
        <references count="1">
          <reference field="4294967294" count="1">
            <x v="0"/>
          </reference>
        </references>
      </pivotArea>
    </format>
    <format dxfId="50">
      <pivotArea type="all" dataOnly="0" outline="0" fieldPosition="0"/>
    </format>
    <format dxfId="51">
      <pivotArea outline="0" collapsedLevelsAreSubtotals="1" fieldPosition="0"/>
    </format>
    <format dxfId="52">
      <pivotArea field="0" type="button" dataOnly="0" labelOnly="1" outline="0"/>
    </format>
    <format dxfId="53">
      <pivotArea dataOnly="0" labelOnly="1" outline="0" fieldPosition="0">
        <references count="1">
          <reference field="4294967294" count="1">
            <x v="0"/>
          </reference>
        </references>
      </pivotArea>
    </format>
    <format dxfId="45">
      <pivotArea outline="0" collapsedLevelsAreSubtotals="1" fieldPosition="0"/>
    </format>
    <format dxfId="44">
      <pivotArea dataOnly="0" labelOnly="1" outline="0" axis="axisValues" fieldPosition="0"/>
    </format>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axis="axisValues" fieldPosition="0"/>
    </format>
  </formats>
  <chartFormats count="11">
    <chartFormat chart="12" format="8"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1"/>
          </reference>
        </references>
      </pivotArea>
    </chartFormat>
    <chartFormat chart="20" format="4">
      <pivotArea type="data" outline="0" fieldPosition="0">
        <references count="2">
          <reference field="4294967294" count="1" selected="0">
            <x v="0"/>
          </reference>
          <reference field="4" count="1" selected="0">
            <x v="0"/>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7642BE-C4A4-4526-A5C9-5F2663D7D81C}"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F51" firstHeaderRow="1" firstDataRow="2"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Col" showAll="0">
      <items count="5">
        <item x="2"/>
        <item x="0"/>
        <item x="1"/>
        <item x="3"/>
        <item t="default"/>
      </items>
    </pivotField>
    <pivotField showAll="0"/>
    <pivotField showAll="0"/>
    <pivotField dataField="1" numFmtId="1" showAll="0"/>
    <pivotField showAll="0"/>
  </pivotFields>
  <rowFields count="1">
    <field x="3"/>
  </rowFields>
  <rowItems count="17">
    <i>
      <x/>
    </i>
    <i>
      <x v="1"/>
    </i>
    <i>
      <x v="2"/>
    </i>
    <i>
      <x v="3"/>
    </i>
    <i>
      <x v="4"/>
    </i>
    <i>
      <x v="5"/>
    </i>
    <i>
      <x v="6"/>
    </i>
    <i>
      <x v="7"/>
    </i>
    <i>
      <x v="8"/>
    </i>
    <i>
      <x v="9"/>
    </i>
    <i>
      <x v="10"/>
    </i>
    <i>
      <x v="11"/>
    </i>
    <i>
      <x v="12"/>
    </i>
    <i>
      <x v="13"/>
    </i>
    <i>
      <x v="14"/>
    </i>
    <i>
      <x v="15"/>
    </i>
    <i t="grand">
      <x/>
    </i>
  </rowItems>
  <colFields count="1">
    <field x="8"/>
  </colFields>
  <colItems count="5">
    <i>
      <x/>
    </i>
    <i>
      <x v="1"/>
    </i>
    <i>
      <x v="2"/>
    </i>
    <i>
      <x v="3"/>
    </i>
    <i t="grand">
      <x/>
    </i>
  </colItems>
  <dataFields count="1">
    <dataField name="Sum of Sales" fld="11" baseField="0" baseItem="0" numFmtId="168"/>
  </dataFields>
  <formats count="14">
    <format dxfId="74">
      <pivotArea type="all" dataOnly="0" outline="0" fieldPosition="0"/>
    </format>
    <format dxfId="75">
      <pivotArea outline="0" collapsedLevelsAreSubtotals="1" fieldPosition="0"/>
    </format>
    <format dxfId="76">
      <pivotArea outline="0" collapsedLevelsAreSubtotals="1" fieldPosition="0">
        <references count="1">
          <reference field="4294967294" count="1" selected="0">
            <x v="0"/>
          </reference>
        </references>
      </pivotArea>
    </format>
    <format dxfId="77">
      <pivotArea dataOnly="0" labelOnly="1" outline="0" fieldPosition="0">
        <references count="1">
          <reference field="4294967294" count="1">
            <x v="0"/>
          </reference>
        </references>
      </pivotArea>
    </format>
    <format dxfId="78">
      <pivotArea type="all" dataOnly="0" outline="0" fieldPosition="0"/>
    </format>
    <format dxfId="79">
      <pivotArea outline="0" collapsedLevelsAreSubtotals="1" fieldPosition="0"/>
    </format>
    <format dxfId="80">
      <pivotArea type="origin" dataOnly="0" labelOnly="1" outline="0" fieldPosition="0"/>
    </format>
    <format dxfId="81">
      <pivotArea field="8" type="button" dataOnly="0" labelOnly="1" outline="0" axis="axisCol" fieldPosition="0"/>
    </format>
    <format dxfId="82">
      <pivotArea type="topRight" dataOnly="0" labelOnly="1" outline="0" fieldPosition="0"/>
    </format>
    <format dxfId="83">
      <pivotArea field="3" type="button" dataOnly="0" labelOnly="1" outline="0" axis="axisRow" fieldPosition="0"/>
    </format>
    <format dxfId="84">
      <pivotArea dataOnly="0" labelOnly="1" fieldPosition="0">
        <references count="1">
          <reference field="3" count="0"/>
        </references>
      </pivotArea>
    </format>
    <format dxfId="85">
      <pivotArea dataOnly="0" labelOnly="1" grandRow="1" outline="0" fieldPosition="0"/>
    </format>
    <format dxfId="86">
      <pivotArea dataOnly="0" labelOnly="1" fieldPosition="0">
        <references count="1">
          <reference field="8" count="0"/>
        </references>
      </pivotArea>
    </format>
    <format dxfId="8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AB8CC-7CD1-4253-9EC0-A1BF54F38FE3}"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5:G28" firstHeaderRow="0"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 showAll="0"/>
    <pivotField showAll="0"/>
  </pivotFields>
  <rowFields count="1">
    <field x="0"/>
  </rowFields>
  <rowItems count="3">
    <i>
      <x/>
    </i>
    <i>
      <x v="1"/>
    </i>
    <i t="grand">
      <x/>
    </i>
  </rowItems>
  <colFields count="1">
    <field x="-2"/>
  </colFields>
  <colItems count="2">
    <i>
      <x/>
    </i>
    <i i="1">
      <x v="1"/>
    </i>
  </colItems>
  <dataFields count="2">
    <dataField name="Sum of Sales" fld="11" baseField="0" baseItem="0" numFmtId="168"/>
    <dataField name="Average of Sales" fld="11" subtotal="average" baseField="5" baseItem="0" numFmtId="168"/>
  </dataFields>
  <formats count="12">
    <format dxfId="88">
      <pivotArea type="all" dataOnly="0" outline="0" fieldPosition="0"/>
    </format>
    <format dxfId="89">
      <pivotArea outline="0" collapsedLevelsAreSubtotals="1" fieldPosition="0"/>
    </format>
    <format dxfId="90">
      <pivotArea outline="0" collapsedLevelsAreSubtotals="1" fieldPosition="0">
        <references count="1">
          <reference field="4294967294" count="1" selected="0">
            <x v="0"/>
          </reference>
        </references>
      </pivotArea>
    </format>
    <format dxfId="91">
      <pivotArea dataOnly="0" labelOnly="1" outline="0" fieldPosition="0">
        <references count="1">
          <reference field="4294967294" count="1">
            <x v="0"/>
          </reference>
        </references>
      </pivotArea>
    </format>
    <format dxfId="92">
      <pivotArea outline="0" collapsedLevelsAreSubtotals="1" fieldPosition="0">
        <references count="1">
          <reference field="4294967294" count="1" selected="0">
            <x v="1"/>
          </reference>
        </references>
      </pivotArea>
    </format>
    <format dxfId="93">
      <pivotArea dataOnly="0" labelOnly="1" outline="0" fieldPosition="0">
        <references count="1">
          <reference field="4294967294" count="1">
            <x v="1"/>
          </reference>
        </references>
      </pivotArea>
    </format>
    <format dxfId="94">
      <pivotArea type="all" dataOnly="0" outline="0" fieldPosition="0"/>
    </format>
    <format dxfId="95">
      <pivotArea outline="0" collapsedLevelsAreSubtotals="1" fieldPosition="0"/>
    </format>
    <format dxfId="96">
      <pivotArea field="0" type="button" dataOnly="0" labelOnly="1" outline="0" axis="axisRow" fieldPosition="0"/>
    </format>
    <format dxfId="97">
      <pivotArea dataOnly="0" labelOnly="1" fieldPosition="0">
        <references count="1">
          <reference field="0" count="0"/>
        </references>
      </pivotArea>
    </format>
    <format dxfId="98">
      <pivotArea dataOnly="0" labelOnly="1" grandRow="1" outline="0" fieldPosition="0"/>
    </format>
    <format dxfId="99">
      <pivotArea dataOnly="0" labelOnly="1" outline="0" fieldPosition="0">
        <references count="1">
          <reference field="4294967294" count="2">
            <x v="0"/>
            <x v="1"/>
          </reference>
        </references>
      </pivotArea>
    </format>
  </formats>
  <chartFormats count="6">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series="1">
      <pivotArea type="data" outline="0" fieldPosition="0">
        <references count="1">
          <reference field="4294967294" count="1" selected="0">
            <x v="1"/>
          </reference>
        </references>
      </pivotArea>
    </chartFormat>
    <chartFormat chart="12" format="12">
      <pivotArea type="data" outline="0" fieldPosition="0">
        <references count="2">
          <reference field="4294967294" count="1" selected="0">
            <x v="1"/>
          </reference>
          <reference field="0" count="1" selected="0">
            <x v="0"/>
          </reference>
        </references>
      </pivotArea>
    </chartFormat>
    <chartFormat chart="12" format="13">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5C3AC6-5C63-4F4C-A82C-9A6C72F4FBAD}" name="PivotTable10"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9:K29" firstHeaderRow="1" firstDataRow="1" firstDataCol="1"/>
  <pivotFields count="13">
    <pivotField axis="axisRow" showAll="0">
      <items count="3">
        <item x="1"/>
        <item x="0"/>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numFmtId="1" showAll="0"/>
    <pivotField showAll="0"/>
  </pivotFields>
  <rowFields count="2">
    <field x="6"/>
    <field x="0"/>
  </rowFields>
  <rowItems count="10">
    <i>
      <x/>
    </i>
    <i r="1">
      <x/>
    </i>
    <i r="1">
      <x v="1"/>
    </i>
    <i>
      <x v="1"/>
    </i>
    <i r="1">
      <x/>
    </i>
    <i r="1">
      <x v="1"/>
    </i>
    <i>
      <x v="2"/>
    </i>
    <i r="1">
      <x/>
    </i>
    <i r="1">
      <x v="1"/>
    </i>
    <i t="grand">
      <x/>
    </i>
  </rowItems>
  <colItems count="1">
    <i/>
  </colItems>
  <dataFields count="1">
    <dataField name="Sum of Sales" fld="11" baseField="0" baseItem="0" numFmtId="168"/>
  </dataFields>
  <formats count="16">
    <format dxfId="64">
      <pivotArea type="all" dataOnly="0" outline="0" fieldPosition="0"/>
    </format>
    <format dxfId="65">
      <pivotArea outline="0" collapsedLevelsAreSubtotals="1" fieldPosition="0"/>
    </format>
    <format dxfId="66">
      <pivotArea outline="0" collapsedLevelsAreSubtotals="1" fieldPosition="0">
        <references count="1">
          <reference field="4294967294" count="1" selected="0">
            <x v="0"/>
          </reference>
        </references>
      </pivotArea>
    </format>
    <format dxfId="67">
      <pivotArea dataOnly="0" labelOnly="1" outline="0" fieldPosition="0">
        <references count="1">
          <reference field="4294967294" count="1">
            <x v="0"/>
          </reference>
        </references>
      </pivotArea>
    </format>
    <format dxfId="68">
      <pivotArea type="all" dataOnly="0" outline="0" fieldPosition="0"/>
    </format>
    <format dxfId="69">
      <pivotArea outline="0" collapsedLevelsAreSubtotals="1" fieldPosition="0"/>
    </format>
    <format dxfId="70">
      <pivotArea field="6" type="button" dataOnly="0" labelOnly="1" outline="0" axis="axisRow" fieldPosition="0"/>
    </format>
    <format dxfId="71">
      <pivotArea dataOnly="0" labelOnly="1" fieldPosition="0">
        <references count="1">
          <reference field="6" count="0"/>
        </references>
      </pivotArea>
    </format>
    <format dxfId="72">
      <pivotArea dataOnly="0" labelOnly="1" grandRow="1" outline="0" fieldPosition="0"/>
    </format>
    <format dxfId="73">
      <pivotArea dataOnly="0" labelOnly="1" outline="0" fieldPosition="0">
        <references count="1">
          <reference field="4294967294" count="1">
            <x v="0"/>
          </reference>
        </references>
      </pivotArea>
    </format>
    <format dxfId="43">
      <pivotArea collapsedLevelsAreSubtotals="1" fieldPosition="0">
        <references count="1">
          <reference field="6" count="1">
            <x v="0"/>
          </reference>
        </references>
      </pivotArea>
    </format>
    <format dxfId="42">
      <pivotArea collapsedLevelsAreSubtotals="1" fieldPosition="0">
        <references count="2">
          <reference field="0" count="0"/>
          <reference field="6" count="1" selected="0">
            <x v="0"/>
          </reference>
        </references>
      </pivotArea>
    </format>
    <format dxfId="41">
      <pivotArea collapsedLevelsAreSubtotals="1" fieldPosition="0">
        <references count="1">
          <reference field="6" count="1">
            <x v="1"/>
          </reference>
        </references>
      </pivotArea>
    </format>
    <format dxfId="40">
      <pivotArea collapsedLevelsAreSubtotals="1" fieldPosition="0">
        <references count="2">
          <reference field="0" count="0"/>
          <reference field="6" count="1" selected="0">
            <x v="1"/>
          </reference>
        </references>
      </pivotArea>
    </format>
    <format dxfId="39">
      <pivotArea collapsedLevelsAreSubtotals="1" fieldPosition="0">
        <references count="1">
          <reference field="6" count="1">
            <x v="2"/>
          </reference>
        </references>
      </pivotArea>
    </format>
    <format dxfId="38">
      <pivotArea collapsedLevelsAreSubtotals="1" fieldPosition="0">
        <references count="2">
          <reference field="0" count="0"/>
          <reference field="6" count="1" selected="0">
            <x v="2"/>
          </reference>
        </references>
      </pivotArea>
    </format>
  </format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3">
          <reference field="4294967294" count="1" selected="0">
            <x v="0"/>
          </reference>
          <reference field="0" count="1" selected="0">
            <x v="1"/>
          </reference>
          <reference field="6" count="1" selected="0">
            <x v="0"/>
          </reference>
        </references>
      </pivotArea>
    </chartFormat>
    <chartFormat chart="9" format="4">
      <pivotArea type="data" outline="0" fieldPosition="0">
        <references count="3">
          <reference field="4294967294" count="1" selected="0">
            <x v="0"/>
          </reference>
          <reference field="0" count="1" selected="0">
            <x v="1"/>
          </reference>
          <reference field="6" count="1" selected="0">
            <x v="1"/>
          </reference>
        </references>
      </pivotArea>
    </chartFormat>
    <chartFormat chart="9" format="5">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3EA5C0-2E4B-4B00-BD64-4C7CAB466860}"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M16" firstHeaderRow="0" firstDataRow="1" firstDataCol="1"/>
  <pivotFields count="13">
    <pivotField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numFmtId="1" showAll="0"/>
    <pivotField dataField="1" showAll="0"/>
  </pivotFields>
  <rowFields count="1">
    <field x="8"/>
  </rowFields>
  <rowItems count="5">
    <i>
      <x/>
    </i>
    <i>
      <x v="1"/>
    </i>
    <i>
      <x v="2"/>
    </i>
    <i>
      <x v="3"/>
    </i>
    <i t="grand">
      <x/>
    </i>
  </rowItems>
  <colFields count="1">
    <field x="-2"/>
  </colFields>
  <colItems count="3">
    <i>
      <x/>
    </i>
    <i i="1">
      <x v="1"/>
    </i>
    <i i="2">
      <x v="2"/>
    </i>
  </colItems>
  <dataFields count="3">
    <dataField name="Sum of Sales" fld="11" baseField="0" baseItem="0" numFmtId="168"/>
    <dataField name="Average of Sales" fld="11" subtotal="average" baseField="5" baseItem="0" numFmtId="168"/>
    <dataField name="Average of Rating" fld="12" subtotal="average" baseField="5" baseItem="0"/>
  </dataFields>
  <formats count="15">
    <format dxfId="100">
      <pivotArea type="all" dataOnly="0" outline="0" fieldPosition="0"/>
    </format>
    <format dxfId="101">
      <pivotArea outline="0" collapsedLevelsAreSubtotals="1" fieldPosition="0"/>
    </format>
    <format dxfId="102">
      <pivotArea dataOnly="0" outline="0" fieldPosition="0">
        <references count="1">
          <reference field="4294967294" count="1">
            <x v="2"/>
          </reference>
        </references>
      </pivotArea>
    </format>
    <format dxfId="103">
      <pivotArea outline="0" collapsedLevelsAreSubtotals="1" fieldPosition="0">
        <references count="1">
          <reference field="4294967294" count="1" selected="0">
            <x v="0"/>
          </reference>
        </references>
      </pivotArea>
    </format>
    <format dxfId="104">
      <pivotArea dataOnly="0" labelOnly="1" outline="0" fieldPosition="0">
        <references count="1">
          <reference field="4294967294" count="1">
            <x v="0"/>
          </reference>
        </references>
      </pivotArea>
    </format>
    <format dxfId="105">
      <pivotArea outline="0" collapsedLevelsAreSubtotals="1" fieldPosition="0">
        <references count="1">
          <reference field="4294967294" count="1" selected="0">
            <x v="1"/>
          </reference>
        </references>
      </pivotArea>
    </format>
    <format dxfId="106">
      <pivotArea dataOnly="0" labelOnly="1" outline="0" fieldPosition="0">
        <references count="1">
          <reference field="4294967294" count="1">
            <x v="1"/>
          </reference>
        </references>
      </pivotArea>
    </format>
    <format dxfId="107">
      <pivotArea type="all" dataOnly="0" outline="0" fieldPosition="0"/>
    </format>
    <format dxfId="108">
      <pivotArea outline="0" collapsedLevelsAreSubtotals="1" fieldPosition="0"/>
    </format>
    <format dxfId="109">
      <pivotArea field="8" type="button" dataOnly="0" labelOnly="1" outline="0" axis="axisRow" fieldPosition="0"/>
    </format>
    <format dxfId="110">
      <pivotArea dataOnly="0" labelOnly="1" fieldPosition="0">
        <references count="1">
          <reference field="8" count="0"/>
        </references>
      </pivotArea>
    </format>
    <format dxfId="111">
      <pivotArea dataOnly="0" labelOnly="1" grandRow="1" outline="0" fieldPosition="0"/>
    </format>
    <format dxfId="112">
      <pivotArea dataOnly="0" labelOnly="1" outline="0" fieldPosition="0">
        <references count="1">
          <reference field="4294967294" count="3">
            <x v="0"/>
            <x v="1"/>
            <x v="2"/>
          </reference>
        </references>
      </pivotArea>
    </format>
    <format dxfId="15">
      <pivotArea collapsedLevelsAreSubtotals="1" fieldPosition="0">
        <references count="2">
          <reference field="4294967294" count="1" selected="0">
            <x v="0"/>
          </reference>
          <reference field="8" count="0"/>
        </references>
      </pivotArea>
    </format>
    <format dxfId="14">
      <pivotArea field="8"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2E76E8-D39A-4E38-96C8-F6A4C62D275F}"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H22" firstHeaderRow="0" firstDataRow="1" firstDataCol="1"/>
  <pivotFields count="13">
    <pivotField showAll="0"/>
    <pivotField showAll="0"/>
    <pivotField showAll="0"/>
    <pivotField showAll="0"/>
    <pivotField showAll="0"/>
    <pivotField axis="axisRow"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numFmtId="1" showAll="0"/>
    <pivotField dataField="1" showAll="0"/>
  </pivotFields>
  <rowFields count="1">
    <field x="5"/>
  </rowFields>
  <rowItems count="11">
    <i>
      <x/>
    </i>
    <i>
      <x v="1"/>
    </i>
    <i>
      <x v="2"/>
    </i>
    <i>
      <x v="3"/>
    </i>
    <i>
      <x v="4"/>
    </i>
    <i>
      <x v="5"/>
    </i>
    <i>
      <x v="6"/>
    </i>
    <i>
      <x v="7"/>
    </i>
    <i>
      <x v="8"/>
    </i>
    <i>
      <x v="9"/>
    </i>
    <i t="grand">
      <x/>
    </i>
  </rowItems>
  <colFields count="1">
    <field x="-2"/>
  </colFields>
  <colItems count="3">
    <i>
      <x/>
    </i>
    <i i="1">
      <x v="1"/>
    </i>
    <i i="2">
      <x v="2"/>
    </i>
  </colItems>
  <dataFields count="3">
    <dataField name="Sum of Sales" fld="11" baseField="0" baseItem="0" numFmtId="168"/>
    <dataField name="Average of Sales" fld="11" subtotal="average" baseField="5" baseItem="0" numFmtId="168"/>
    <dataField name="Average of Rating" fld="12" subtotal="average" baseField="5" baseItem="0"/>
  </dataFields>
  <formats count="13">
    <format dxfId="113">
      <pivotArea type="all" dataOnly="0" outline="0" fieldPosition="0"/>
    </format>
    <format dxfId="114">
      <pivotArea outline="0" collapsedLevelsAreSubtotals="1" fieldPosition="0"/>
    </format>
    <format dxfId="115">
      <pivotArea dataOnly="0" outline="0" fieldPosition="0">
        <references count="1">
          <reference field="4294967294" count="1">
            <x v="2"/>
          </reference>
        </references>
      </pivotArea>
    </format>
    <format dxfId="116">
      <pivotArea outline="0" collapsedLevelsAreSubtotals="1" fieldPosition="0">
        <references count="1">
          <reference field="4294967294" count="1" selected="0">
            <x v="0"/>
          </reference>
        </references>
      </pivotArea>
    </format>
    <format dxfId="117">
      <pivotArea dataOnly="0" labelOnly="1" outline="0" fieldPosition="0">
        <references count="1">
          <reference field="4294967294" count="1">
            <x v="0"/>
          </reference>
        </references>
      </pivotArea>
    </format>
    <format dxfId="118">
      <pivotArea outline="0" collapsedLevelsAreSubtotals="1" fieldPosition="0">
        <references count="1">
          <reference field="4294967294" count="1" selected="0">
            <x v="1"/>
          </reference>
        </references>
      </pivotArea>
    </format>
    <format dxfId="119">
      <pivotArea dataOnly="0" labelOnly="1" outline="0" fieldPosition="0">
        <references count="1">
          <reference field="4294967294" count="1">
            <x v="1"/>
          </reference>
        </references>
      </pivotArea>
    </format>
    <format dxfId="120">
      <pivotArea type="all" dataOnly="0" outline="0" fieldPosition="0"/>
    </format>
    <format dxfId="121">
      <pivotArea outline="0" collapsedLevelsAreSubtotals="1" fieldPosition="0"/>
    </format>
    <format dxfId="122">
      <pivotArea field="5" type="button" dataOnly="0" labelOnly="1" outline="0" axis="axisRow" fieldPosition="0"/>
    </format>
    <format dxfId="123">
      <pivotArea dataOnly="0" labelOnly="1" fieldPosition="0">
        <references count="1">
          <reference field="5" count="0"/>
        </references>
      </pivotArea>
    </format>
    <format dxfId="124">
      <pivotArea dataOnly="0" labelOnly="1" grandRow="1" outline="0" fieldPosition="0"/>
    </format>
    <format dxfId="12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76726F-2C62-41A5-A0E1-388B591B4EDB}"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C28" firstHeaderRow="0"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 showAll="0"/>
    <pivotField showAll="0"/>
  </pivotFields>
  <rowFields count="1">
    <field x="3"/>
  </rowFields>
  <rowItems count="17">
    <i>
      <x v="12"/>
    </i>
    <i>
      <x v="2"/>
    </i>
    <i>
      <x v="15"/>
    </i>
    <i>
      <x v="11"/>
    </i>
    <i>
      <x v="7"/>
    </i>
    <i>
      <x v="1"/>
    </i>
    <i>
      <x v="14"/>
    </i>
    <i>
      <x v="10"/>
    </i>
    <i>
      <x v="8"/>
    </i>
    <i>
      <x/>
    </i>
    <i>
      <x v="3"/>
    </i>
    <i>
      <x v="4"/>
    </i>
    <i>
      <x v="5"/>
    </i>
    <i>
      <x v="9"/>
    </i>
    <i>
      <x v="13"/>
    </i>
    <i>
      <x v="6"/>
    </i>
    <i t="grand">
      <x/>
    </i>
  </rowItems>
  <colFields count="1">
    <field x="-2"/>
  </colFields>
  <colItems count="2">
    <i>
      <x/>
    </i>
    <i i="1">
      <x v="1"/>
    </i>
  </colItems>
  <dataFields count="2">
    <dataField name="Sum of Sales" fld="11" baseField="0" baseItem="0" numFmtId="184"/>
    <dataField name="Average of Sales2" fld="11" subtotal="average" baseField="3" baseItem="0" numFmtId="1"/>
  </dataFields>
  <formats count="11">
    <format dxfId="55">
      <pivotArea type="all" dataOnly="0" outline="0" fieldPosition="0"/>
    </format>
    <format dxfId="56">
      <pivotArea outline="0" collapsedLevelsAreSubtotals="1" fieldPosition="0"/>
    </format>
    <format dxfId="57">
      <pivotArea field="3" grandRow="1" outline="0" collapsedLevelsAreSubtotals="1" axis="axisRow" fieldPosition="0">
        <references count="1">
          <reference field="4294967294" count="1" selected="0">
            <x v="1"/>
          </reference>
        </references>
      </pivotArea>
    </format>
    <format dxfId="58">
      <pivotArea type="all" dataOnly="0" outline="0" fieldPosition="0"/>
    </format>
    <format dxfId="59">
      <pivotArea outline="0" collapsedLevelsAreSubtotals="1" fieldPosition="0"/>
    </format>
    <format dxfId="60">
      <pivotArea field="3" type="button" dataOnly="0" labelOnly="1" outline="0" axis="axisRow" fieldPosition="0"/>
    </format>
    <format dxfId="61">
      <pivotArea dataOnly="0" labelOnly="1" fieldPosition="0">
        <references count="1">
          <reference field="3" count="0"/>
        </references>
      </pivotArea>
    </format>
    <format dxfId="62">
      <pivotArea dataOnly="0" labelOnly="1" grandRow="1" outline="0" fieldPosition="0"/>
    </format>
    <format dxfId="63">
      <pivotArea dataOnly="0" labelOnly="1" outline="0" fieldPosition="0">
        <references count="1">
          <reference field="4294967294" count="2">
            <x v="0"/>
            <x v="1"/>
          </reference>
        </references>
      </pivotArea>
    </format>
    <format dxfId="54">
      <pivotArea field="3" grandRow="1" outline="0" collapsedLevelsAreSubtotals="1" axis="axisRow" fieldPosition="0">
        <references count="1">
          <reference field="4294967294" count="1" selected="0">
            <x v="0"/>
          </reference>
        </references>
      </pivotArea>
    </format>
    <format dxfId="37">
      <pivotArea outline="0" fieldPosition="0">
        <references count="1">
          <reference field="4294967294" count="1">
            <x v="0"/>
          </reference>
        </references>
      </pivotArea>
    </format>
  </format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7A94FA-C382-41AC-96B6-1233E14BC822}"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 showAll="0"/>
    <pivotField dataField="1" showAll="0"/>
  </pivotFields>
  <rowItems count="1">
    <i/>
  </rowItems>
  <colFields count="1">
    <field x="-2"/>
  </colFields>
  <colItems count="4">
    <i>
      <x/>
    </i>
    <i i="1">
      <x v="1"/>
    </i>
    <i i="2">
      <x v="2"/>
    </i>
    <i i="3">
      <x v="3"/>
    </i>
  </colItems>
  <dataFields count="4">
    <dataField name="Sum of Sales" fld="11" baseField="0" baseItem="0" numFmtId="1"/>
    <dataField name="Average Sales" fld="11" subtotal="average" baseField="0" baseItem="1" numFmtId="1"/>
    <dataField name="No.of Items" fld="1" subtotal="count" baseField="0" baseItem="1"/>
    <dataField name="Average of Rating" fld="12" subtotal="average" baseField="0" baseItem="1" numFmtId="164"/>
  </dataFields>
  <formats count="4">
    <format dxfId="126">
      <pivotArea outline="0" collapsedLevelsAreSubtotals="1" fieldPosition="0">
        <references count="1">
          <reference field="4294967294" count="1" selected="0">
            <x v="3"/>
          </reference>
        </references>
      </pivotArea>
    </format>
    <format dxfId="127">
      <pivotArea type="all" dataOnly="0" outline="0" fieldPosition="0"/>
    </format>
    <format dxfId="128">
      <pivotArea outline="0" collapsedLevelsAreSubtotals="1" fieldPosition="0"/>
    </format>
    <format dxfId="1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67864A9-7930-461B-93EE-A4A800612D57}" sourceName="Outlet Location Type">
  <pivotTables>
    <pivotTable tabId="4" name="PivotTable2"/>
    <pivotTable tabId="4" name="PivotTable7"/>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s>
  <data>
    <tabular pivotCacheId="36955955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8990ADF-61A9-44EF-8EDC-A82449710858}" sourceName="Outlet Size">
  <pivotTables>
    <pivotTable tabId="4" name="PivotTable2"/>
    <pivotTable tabId="4" name="PivotTable7"/>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s>
  <data>
    <tabular pivotCacheId="36955955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380E602-5DB0-42B8-8594-84A09CA27A9C}" sourceName="Item Type">
  <pivotTables>
    <pivotTable tabId="4" name="PivotTable7"/>
  </pivotTables>
  <data>
    <tabular pivotCacheId="36955955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26781952-E5E8-442D-BBD8-86E66E5CC4C5}" cache="Slicer_Outlet_Location_Type" caption="Outlet Location Type" rowHeight="260350"/>
  <slicer name="Outlet Size" xr10:uid="{B00A2341-4390-49F3-AE27-6874EA07AA9A}"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01AAEF5E-AE3B-4F8E-8F94-A808EAC236E1}" cache="Slicer_Outlet_Location_Type" caption="Outlet Location Type" style="SlicerStyleLight4 2" rowHeight="260350"/>
  <slicer name="Outlet Size 1" xr10:uid="{F82E3D8C-E590-40E1-BE5A-691A1A0C5359}" cache="Slicer_Outlet_Size" caption="Outlet Size" style="SlicerStyleLight4 2" rowHeight="260350"/>
  <slicer name="Item Type" xr10:uid="{529E28CF-27A0-475F-9E79-7D2A1D17D134}" cache="Slicer_Item_Type" caption="Item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23DFEFF4-EAED-4177-978B-4A2AA0882C20}"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dataDxfId="130"/>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90" zoomScaleNormal="90" workbookViewId="0">
      <pane ySplit="1" topLeftCell="A2" activePane="bottomLeft" state="frozen"/>
      <selection pane="bottomLeft" activeCell="B2" sqref="B2"/>
    </sheetView>
  </sheetViews>
  <sheetFormatPr defaultRowHeight="15.6" x14ac:dyDescent="0.3"/>
  <cols>
    <col min="1" max="1" width="17.3984375" bestFit="1" customWidth="1"/>
    <col min="2" max="2" width="15.296875" bestFit="1" customWidth="1"/>
    <col min="3" max="3" width="19.09765625" bestFit="1" customWidth="1"/>
    <col min="4" max="4" width="25.19921875" bestFit="1" customWidth="1"/>
    <col min="5" max="5" width="16.69921875" bestFit="1" customWidth="1"/>
    <col min="6" max="6" width="20.8984375" bestFit="1" customWidth="1"/>
    <col min="7" max="7" width="12.09765625" bestFit="1" customWidth="1"/>
    <col min="8" max="8" width="17.296875" bestFit="1" customWidth="1"/>
    <col min="9" max="9" width="14.5" bestFit="1" customWidth="1"/>
    <col min="10" max="10" width="13.5" bestFit="1" customWidth="1"/>
    <col min="11" max="11" width="9" style="1" bestFit="1" customWidth="1"/>
    <col min="12" max="12" width="8.5" bestFit="1" customWidth="1"/>
  </cols>
  <sheetData>
    <row r="1" spans="1:13" x14ac:dyDescent="0.3">
      <c r="A1" t="s">
        <v>0</v>
      </c>
      <c r="B1" t="s">
        <v>1614</v>
      </c>
      <c r="C1" t="s">
        <v>1</v>
      </c>
      <c r="D1" t="s">
        <v>2</v>
      </c>
      <c r="E1" t="s">
        <v>1609</v>
      </c>
      <c r="F1" t="s">
        <v>3</v>
      </c>
      <c r="G1" t="s">
        <v>4</v>
      </c>
      <c r="H1" t="s">
        <v>5</v>
      </c>
      <c r="I1" t="s">
        <v>6</v>
      </c>
      <c r="J1" t="s">
        <v>7</v>
      </c>
      <c r="K1" t="s">
        <v>8</v>
      </c>
      <c r="L1" s="1" t="s">
        <v>1608</v>
      </c>
      <c r="M1" t="s">
        <v>9</v>
      </c>
    </row>
    <row r="2" spans="1:13" x14ac:dyDescent="0.3">
      <c r="A2" t="s">
        <v>10</v>
      </c>
      <c r="B2">
        <v>1</v>
      </c>
      <c r="C2" t="s">
        <v>11</v>
      </c>
      <c r="D2" t="s">
        <v>12</v>
      </c>
      <c r="E2">
        <v>2012</v>
      </c>
      <c r="F2" t="s">
        <v>13</v>
      </c>
      <c r="G2" t="s">
        <v>14</v>
      </c>
      <c r="H2" t="s">
        <v>15</v>
      </c>
      <c r="I2" t="s">
        <v>16</v>
      </c>
      <c r="J2">
        <v>0.10001350000000001</v>
      </c>
      <c r="K2">
        <v>15.1</v>
      </c>
      <c r="L2" s="1">
        <f>ROUND(145.4786,2)</f>
        <v>145.47999999999999</v>
      </c>
      <c r="M2">
        <v>5</v>
      </c>
    </row>
    <row r="3" spans="1:13" x14ac:dyDescent="0.3">
      <c r="A3" t="s">
        <v>17</v>
      </c>
      <c r="B3">
        <v>2</v>
      </c>
      <c r="C3" t="s">
        <v>18</v>
      </c>
      <c r="D3" t="s">
        <v>19</v>
      </c>
      <c r="E3">
        <v>2022</v>
      </c>
      <c r="F3" t="s">
        <v>20</v>
      </c>
      <c r="G3" t="s">
        <v>21</v>
      </c>
      <c r="H3" t="s">
        <v>15</v>
      </c>
      <c r="I3" t="s">
        <v>22</v>
      </c>
      <c r="J3">
        <v>8.5960510000000004E-3</v>
      </c>
      <c r="K3">
        <v>11.8</v>
      </c>
      <c r="L3" s="1">
        <v>115.3492</v>
      </c>
      <c r="M3">
        <v>5</v>
      </c>
    </row>
    <row r="4" spans="1:13" x14ac:dyDescent="0.3">
      <c r="A4" t="s">
        <v>10</v>
      </c>
      <c r="B4">
        <v>3</v>
      </c>
      <c r="C4" t="s">
        <v>23</v>
      </c>
      <c r="D4" t="s">
        <v>24</v>
      </c>
      <c r="E4">
        <v>2016</v>
      </c>
      <c r="F4" t="s">
        <v>25</v>
      </c>
      <c r="G4" t="s">
        <v>14</v>
      </c>
      <c r="H4" t="s">
        <v>26</v>
      </c>
      <c r="I4" t="s">
        <v>16</v>
      </c>
      <c r="J4">
        <v>2.5896485E-2</v>
      </c>
      <c r="K4">
        <v>13.85</v>
      </c>
      <c r="L4" s="1">
        <v>165.02099999999999</v>
      </c>
      <c r="M4">
        <v>5</v>
      </c>
    </row>
    <row r="5" spans="1:13" x14ac:dyDescent="0.3">
      <c r="A5" t="s">
        <v>10</v>
      </c>
      <c r="B5">
        <v>4</v>
      </c>
      <c r="C5" t="s">
        <v>27</v>
      </c>
      <c r="D5" t="s">
        <v>28</v>
      </c>
      <c r="E5">
        <v>2014</v>
      </c>
      <c r="F5" t="s">
        <v>29</v>
      </c>
      <c r="G5" t="s">
        <v>21</v>
      </c>
      <c r="H5" t="s">
        <v>30</v>
      </c>
      <c r="I5" t="s">
        <v>16</v>
      </c>
      <c r="J5">
        <v>4.2277866999999997E-2</v>
      </c>
      <c r="K5">
        <v>12.15</v>
      </c>
      <c r="L5" s="1">
        <v>126.5046</v>
      </c>
      <c r="M5">
        <v>5</v>
      </c>
    </row>
    <row r="6" spans="1:13" x14ac:dyDescent="0.3">
      <c r="A6" t="s">
        <v>17</v>
      </c>
      <c r="B6">
        <v>5</v>
      </c>
      <c r="C6" t="s">
        <v>31</v>
      </c>
      <c r="D6" t="s">
        <v>32</v>
      </c>
      <c r="E6">
        <v>2015</v>
      </c>
      <c r="F6" t="s">
        <v>33</v>
      </c>
      <c r="G6" t="s">
        <v>34</v>
      </c>
      <c r="H6" t="s">
        <v>26</v>
      </c>
      <c r="I6" t="s">
        <v>16</v>
      </c>
      <c r="J6">
        <v>3.3970195000000002E-2</v>
      </c>
      <c r="K6">
        <v>19.600000000000001</v>
      </c>
      <c r="L6" s="1">
        <v>55.1614</v>
      </c>
      <c r="M6">
        <v>5</v>
      </c>
    </row>
    <row r="7" spans="1:13" x14ac:dyDescent="0.3">
      <c r="A7" t="s">
        <v>35</v>
      </c>
      <c r="B7">
        <v>6</v>
      </c>
      <c r="C7" t="s">
        <v>36</v>
      </c>
      <c r="D7" t="s">
        <v>24</v>
      </c>
      <c r="E7">
        <v>2020</v>
      </c>
      <c r="F7" t="s">
        <v>37</v>
      </c>
      <c r="G7" t="s">
        <v>34</v>
      </c>
      <c r="H7" t="s">
        <v>26</v>
      </c>
      <c r="I7" t="s">
        <v>16</v>
      </c>
      <c r="J7">
        <v>5.5054809999999996E-3</v>
      </c>
      <c r="K7">
        <v>8.89</v>
      </c>
      <c r="L7" s="1">
        <v>102.4016</v>
      </c>
      <c r="M7">
        <v>5</v>
      </c>
    </row>
    <row r="8" spans="1:13" x14ac:dyDescent="0.3">
      <c r="A8" t="s">
        <v>17</v>
      </c>
      <c r="B8">
        <v>7</v>
      </c>
      <c r="C8" t="s">
        <v>38</v>
      </c>
      <c r="D8" t="s">
        <v>19</v>
      </c>
      <c r="E8">
        <v>2011</v>
      </c>
      <c r="F8" t="s">
        <v>39</v>
      </c>
      <c r="G8" t="s">
        <v>21</v>
      </c>
      <c r="H8" t="s">
        <v>26</v>
      </c>
      <c r="I8" t="s">
        <v>40</v>
      </c>
      <c r="J8">
        <v>9.8312420999999997E-2</v>
      </c>
      <c r="K8">
        <v>11.8</v>
      </c>
      <c r="L8" s="1">
        <v>81.461799999999997</v>
      </c>
      <c r="M8">
        <v>5</v>
      </c>
    </row>
    <row r="9" spans="1:13" x14ac:dyDescent="0.3">
      <c r="A9" t="s">
        <v>17</v>
      </c>
      <c r="B9">
        <v>8</v>
      </c>
      <c r="C9" t="s">
        <v>41</v>
      </c>
      <c r="D9" t="s">
        <v>42</v>
      </c>
      <c r="E9">
        <v>2015</v>
      </c>
      <c r="F9" t="s">
        <v>33</v>
      </c>
      <c r="G9" t="s">
        <v>34</v>
      </c>
      <c r="H9" t="s">
        <v>26</v>
      </c>
      <c r="I9" t="s">
        <v>16</v>
      </c>
      <c r="J9">
        <v>2.6903713999999999E-2</v>
      </c>
      <c r="K9">
        <v>19.7</v>
      </c>
      <c r="L9" s="1">
        <v>96.072599999999994</v>
      </c>
      <c r="M9">
        <v>5</v>
      </c>
    </row>
    <row r="10" spans="1:13" x14ac:dyDescent="0.3">
      <c r="A10" t="s">
        <v>17</v>
      </c>
      <c r="B10">
        <v>9</v>
      </c>
      <c r="C10" t="s">
        <v>43</v>
      </c>
      <c r="D10" t="s">
        <v>12</v>
      </c>
      <c r="E10">
        <v>2014</v>
      </c>
      <c r="F10" t="s">
        <v>29</v>
      </c>
      <c r="G10" t="s">
        <v>21</v>
      </c>
      <c r="H10" t="s">
        <v>30</v>
      </c>
      <c r="I10" t="s">
        <v>16</v>
      </c>
      <c r="J10">
        <v>2.4129332E-2</v>
      </c>
      <c r="K10">
        <v>20.75</v>
      </c>
      <c r="L10" s="1">
        <v>124.173</v>
      </c>
      <c r="M10">
        <v>5</v>
      </c>
    </row>
    <row r="11" spans="1:13" x14ac:dyDescent="0.3">
      <c r="A11" t="s">
        <v>17</v>
      </c>
      <c r="B11">
        <v>10</v>
      </c>
      <c r="C11" t="s">
        <v>44</v>
      </c>
      <c r="D11" t="s">
        <v>28</v>
      </c>
      <c r="E11">
        <v>2018</v>
      </c>
      <c r="F11" t="s">
        <v>45</v>
      </c>
      <c r="G11" t="s">
        <v>21</v>
      </c>
      <c r="H11" t="s">
        <v>15</v>
      </c>
      <c r="I11" t="s">
        <v>46</v>
      </c>
      <c r="J11">
        <v>0.101561568</v>
      </c>
      <c r="K11"/>
      <c r="L11" s="1">
        <v>181.92920000000001</v>
      </c>
      <c r="M11">
        <v>5</v>
      </c>
    </row>
    <row r="12" spans="1:13" x14ac:dyDescent="0.3">
      <c r="A12" t="s">
        <v>17</v>
      </c>
      <c r="B12">
        <v>11</v>
      </c>
      <c r="C12" t="s">
        <v>47</v>
      </c>
      <c r="D12" t="s">
        <v>48</v>
      </c>
      <c r="E12">
        <v>2018</v>
      </c>
      <c r="F12" t="s">
        <v>45</v>
      </c>
      <c r="G12" t="s">
        <v>21</v>
      </c>
      <c r="H12" t="s">
        <v>15</v>
      </c>
      <c r="I12" t="s">
        <v>46</v>
      </c>
      <c r="J12">
        <v>8.4554568999999996E-2</v>
      </c>
      <c r="K12"/>
      <c r="L12" s="1">
        <v>109.8912</v>
      </c>
      <c r="M12">
        <v>5</v>
      </c>
    </row>
    <row r="13" spans="1:13" x14ac:dyDescent="0.3">
      <c r="A13" t="s">
        <v>17</v>
      </c>
      <c r="B13">
        <v>12</v>
      </c>
      <c r="C13" t="s">
        <v>49</v>
      </c>
      <c r="D13" t="s">
        <v>19</v>
      </c>
      <c r="E13">
        <v>2017</v>
      </c>
      <c r="F13" t="s">
        <v>50</v>
      </c>
      <c r="G13" t="s">
        <v>34</v>
      </c>
      <c r="H13" t="s">
        <v>26</v>
      </c>
      <c r="I13" t="s">
        <v>16</v>
      </c>
      <c r="J13">
        <v>5.2044976E-2</v>
      </c>
      <c r="K13">
        <v>18.850000000000001</v>
      </c>
      <c r="L13" s="1">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s="1">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s="1">
        <v>195.21100000000001</v>
      </c>
      <c r="M15">
        <v>5</v>
      </c>
    </row>
    <row r="16" spans="1:13" x14ac:dyDescent="0.3">
      <c r="A16" t="s">
        <v>17</v>
      </c>
      <c r="B16">
        <v>15</v>
      </c>
      <c r="C16" t="s">
        <v>53</v>
      </c>
      <c r="D16" t="s">
        <v>54</v>
      </c>
      <c r="E16">
        <v>2018</v>
      </c>
      <c r="F16" t="s">
        <v>45</v>
      </c>
      <c r="G16" t="s">
        <v>21</v>
      </c>
      <c r="H16" t="s">
        <v>15</v>
      </c>
      <c r="I16" t="s">
        <v>46</v>
      </c>
      <c r="J16">
        <v>3.2928239999999998E-2</v>
      </c>
      <c r="K16"/>
      <c r="L16" s="1">
        <v>173.1738</v>
      </c>
      <c r="M16">
        <v>5</v>
      </c>
    </row>
    <row r="17" spans="1:13" x14ac:dyDescent="0.3">
      <c r="A17" t="s">
        <v>10</v>
      </c>
      <c r="B17">
        <v>16</v>
      </c>
      <c r="C17" t="s">
        <v>55</v>
      </c>
      <c r="D17" t="s">
        <v>12</v>
      </c>
      <c r="E17">
        <v>2017</v>
      </c>
      <c r="F17" t="s">
        <v>50</v>
      </c>
      <c r="G17" t="s">
        <v>34</v>
      </c>
      <c r="H17" t="s">
        <v>26</v>
      </c>
      <c r="I17" t="s">
        <v>16</v>
      </c>
      <c r="J17">
        <v>1.8801549000000001E-2</v>
      </c>
      <c r="K17">
        <v>20.25</v>
      </c>
      <c r="L17" s="1">
        <f>ROUND(222.1772,2)</f>
        <v>222.18</v>
      </c>
      <c r="M17">
        <v>5</v>
      </c>
    </row>
    <row r="18" spans="1:13" x14ac:dyDescent="0.3">
      <c r="A18" t="s">
        <v>17</v>
      </c>
      <c r="B18">
        <v>17</v>
      </c>
      <c r="C18" t="s">
        <v>56</v>
      </c>
      <c r="D18" t="s">
        <v>57</v>
      </c>
      <c r="E18">
        <v>2022</v>
      </c>
      <c r="F18" t="s">
        <v>20</v>
      </c>
      <c r="G18" t="s">
        <v>21</v>
      </c>
      <c r="H18" t="s">
        <v>15</v>
      </c>
      <c r="I18" t="s">
        <v>22</v>
      </c>
      <c r="J18">
        <v>0.14702383399999999</v>
      </c>
      <c r="K18">
        <v>17.850000000000001</v>
      </c>
      <c r="L18" s="1">
        <v>93.743600000000001</v>
      </c>
      <c r="M18">
        <v>5</v>
      </c>
    </row>
    <row r="19" spans="1:13" x14ac:dyDescent="0.3">
      <c r="A19" t="s">
        <v>17</v>
      </c>
      <c r="B19">
        <v>18</v>
      </c>
      <c r="C19" t="s">
        <v>58</v>
      </c>
      <c r="D19" t="s">
        <v>42</v>
      </c>
      <c r="E19">
        <v>2012</v>
      </c>
      <c r="F19" t="s">
        <v>13</v>
      </c>
      <c r="G19" t="s">
        <v>14</v>
      </c>
      <c r="H19" t="s">
        <v>15</v>
      </c>
      <c r="I19" t="s">
        <v>16</v>
      </c>
      <c r="J19">
        <v>7.7628053000000002E-2</v>
      </c>
      <c r="K19">
        <v>19.2</v>
      </c>
      <c r="L19" s="1">
        <v>197.61099999999999</v>
      </c>
      <c r="M19">
        <v>5</v>
      </c>
    </row>
    <row r="20" spans="1:13" x14ac:dyDescent="0.3">
      <c r="A20" t="s">
        <v>17</v>
      </c>
      <c r="B20">
        <v>19</v>
      </c>
      <c r="C20" t="s">
        <v>59</v>
      </c>
      <c r="D20" t="s">
        <v>12</v>
      </c>
      <c r="E20">
        <v>2018</v>
      </c>
      <c r="F20" t="s">
        <v>45</v>
      </c>
      <c r="G20" t="s">
        <v>21</v>
      </c>
      <c r="H20" t="s">
        <v>15</v>
      </c>
      <c r="I20" t="s">
        <v>46</v>
      </c>
      <c r="J20">
        <v>0.18251488099999999</v>
      </c>
      <c r="K20"/>
      <c r="L20" s="1">
        <v>98.77</v>
      </c>
      <c r="M20">
        <v>5</v>
      </c>
    </row>
    <row r="21" spans="1:13" x14ac:dyDescent="0.3">
      <c r="A21" t="s">
        <v>17</v>
      </c>
      <c r="B21">
        <v>20</v>
      </c>
      <c r="C21" t="s">
        <v>60</v>
      </c>
      <c r="D21" t="s">
        <v>61</v>
      </c>
      <c r="E21">
        <v>2022</v>
      </c>
      <c r="F21" t="s">
        <v>20</v>
      </c>
      <c r="G21" t="s">
        <v>21</v>
      </c>
      <c r="H21" t="s">
        <v>15</v>
      </c>
      <c r="I21" t="s">
        <v>22</v>
      </c>
      <c r="J21">
        <v>1.6895292999999999E-2</v>
      </c>
      <c r="K21">
        <v>12.1</v>
      </c>
      <c r="L21" s="1">
        <v>178.566</v>
      </c>
      <c r="M21">
        <v>5</v>
      </c>
    </row>
    <row r="22" spans="1:13" x14ac:dyDescent="0.3">
      <c r="A22" t="s">
        <v>10</v>
      </c>
      <c r="B22">
        <v>21</v>
      </c>
      <c r="C22" t="s">
        <v>62</v>
      </c>
      <c r="D22" t="s">
        <v>12</v>
      </c>
      <c r="E22">
        <v>2018</v>
      </c>
      <c r="F22" t="s">
        <v>45</v>
      </c>
      <c r="G22" t="s">
        <v>21</v>
      </c>
      <c r="H22" t="s">
        <v>15</v>
      </c>
      <c r="I22" t="s">
        <v>46</v>
      </c>
      <c r="J22">
        <v>0</v>
      </c>
      <c r="K22"/>
      <c r="L22" s="1">
        <v>60.2194</v>
      </c>
      <c r="M22">
        <v>5</v>
      </c>
    </row>
    <row r="23" spans="1:13" x14ac:dyDescent="0.3">
      <c r="A23" t="s">
        <v>17</v>
      </c>
      <c r="B23">
        <v>22</v>
      </c>
      <c r="C23" t="s">
        <v>63</v>
      </c>
      <c r="D23" t="s">
        <v>64</v>
      </c>
      <c r="E23">
        <v>2018</v>
      </c>
      <c r="F23" t="s">
        <v>45</v>
      </c>
      <c r="G23" t="s">
        <v>21</v>
      </c>
      <c r="H23" t="s">
        <v>15</v>
      </c>
      <c r="I23" t="s">
        <v>46</v>
      </c>
      <c r="J23">
        <v>2.6916794000000001E-2</v>
      </c>
      <c r="K23"/>
      <c r="L23" s="1">
        <v>50.9666</v>
      </c>
      <c r="M23">
        <v>5</v>
      </c>
    </row>
    <row r="24" spans="1:13" x14ac:dyDescent="0.3">
      <c r="A24" t="s">
        <v>17</v>
      </c>
      <c r="B24">
        <v>23</v>
      </c>
      <c r="C24" t="s">
        <v>65</v>
      </c>
      <c r="D24" t="s">
        <v>24</v>
      </c>
      <c r="E24">
        <v>2022</v>
      </c>
      <c r="F24" t="s">
        <v>20</v>
      </c>
      <c r="G24" t="s">
        <v>21</v>
      </c>
      <c r="H24" t="s">
        <v>15</v>
      </c>
      <c r="I24" t="s">
        <v>22</v>
      </c>
      <c r="J24">
        <v>2.2976496999999999E-2</v>
      </c>
      <c r="K24">
        <v>6.85</v>
      </c>
      <c r="L24" s="1">
        <v>261.65940000000001</v>
      </c>
      <c r="M24">
        <v>5</v>
      </c>
    </row>
    <row r="25" spans="1:13" x14ac:dyDescent="0.3">
      <c r="A25" t="s">
        <v>17</v>
      </c>
      <c r="B25">
        <v>24</v>
      </c>
      <c r="C25" t="s">
        <v>66</v>
      </c>
      <c r="D25" t="s">
        <v>67</v>
      </c>
      <c r="E25">
        <v>2022</v>
      </c>
      <c r="F25" t="s">
        <v>20</v>
      </c>
      <c r="G25" t="s">
        <v>21</v>
      </c>
      <c r="H25" t="s">
        <v>15</v>
      </c>
      <c r="I25" t="s">
        <v>22</v>
      </c>
      <c r="J25">
        <v>4.2413704000000003E-2</v>
      </c>
      <c r="K25">
        <v>17.25</v>
      </c>
      <c r="L25" s="1">
        <v>173.1764</v>
      </c>
      <c r="M25">
        <v>5</v>
      </c>
    </row>
    <row r="26" spans="1:13" x14ac:dyDescent="0.3">
      <c r="A26" t="s">
        <v>10</v>
      </c>
      <c r="B26">
        <v>25</v>
      </c>
      <c r="C26" t="s">
        <v>68</v>
      </c>
      <c r="D26" t="s">
        <v>67</v>
      </c>
      <c r="E26">
        <v>2020</v>
      </c>
      <c r="F26" t="s">
        <v>37</v>
      </c>
      <c r="G26" t="s">
        <v>34</v>
      </c>
      <c r="H26" t="s">
        <v>15</v>
      </c>
      <c r="I26" t="s">
        <v>16</v>
      </c>
      <c r="J26">
        <v>6.5431917000000006E-2</v>
      </c>
      <c r="K26">
        <v>16</v>
      </c>
      <c r="L26" s="1">
        <v>76.198599999999999</v>
      </c>
      <c r="M26">
        <v>5</v>
      </c>
    </row>
    <row r="27" spans="1:13" x14ac:dyDescent="0.3">
      <c r="A27" t="s">
        <v>17</v>
      </c>
      <c r="B27">
        <v>26</v>
      </c>
      <c r="C27" t="s">
        <v>69</v>
      </c>
      <c r="D27" t="s">
        <v>24</v>
      </c>
      <c r="E27">
        <v>2020</v>
      </c>
      <c r="F27" t="s">
        <v>37</v>
      </c>
      <c r="G27" t="s">
        <v>34</v>
      </c>
      <c r="H27" t="s">
        <v>15</v>
      </c>
      <c r="I27" t="s">
        <v>16</v>
      </c>
      <c r="J27">
        <v>0.140241213</v>
      </c>
      <c r="K27">
        <v>13.35</v>
      </c>
      <c r="L27" s="1">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s="1">
        <v>221.94560000000001</v>
      </c>
      <c r="M28">
        <v>5</v>
      </c>
    </row>
    <row r="29" spans="1:13" x14ac:dyDescent="0.3">
      <c r="A29" t="s">
        <v>10</v>
      </c>
      <c r="B29">
        <v>28</v>
      </c>
      <c r="C29" t="s">
        <v>71</v>
      </c>
      <c r="D29" t="s">
        <v>12</v>
      </c>
      <c r="E29">
        <v>2018</v>
      </c>
      <c r="F29" t="s">
        <v>45</v>
      </c>
      <c r="G29" t="s">
        <v>21</v>
      </c>
      <c r="H29" t="s">
        <v>15</v>
      </c>
      <c r="I29" t="s">
        <v>46</v>
      </c>
      <c r="J29">
        <v>1.6516275E-2</v>
      </c>
      <c r="K29"/>
      <c r="L29" s="1">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s="1">
        <v>57.261400000000002</v>
      </c>
      <c r="M30">
        <v>5</v>
      </c>
    </row>
    <row r="31" spans="1:13" x14ac:dyDescent="0.3">
      <c r="A31" t="s">
        <v>10</v>
      </c>
      <c r="B31">
        <v>30</v>
      </c>
      <c r="C31" t="s">
        <v>73</v>
      </c>
      <c r="D31" t="s">
        <v>74</v>
      </c>
      <c r="E31">
        <v>2012</v>
      </c>
      <c r="F31" t="s">
        <v>13</v>
      </c>
      <c r="G31" t="s">
        <v>14</v>
      </c>
      <c r="H31" t="s">
        <v>15</v>
      </c>
      <c r="I31" t="s">
        <v>16</v>
      </c>
      <c r="J31">
        <v>0.131128467</v>
      </c>
      <c r="K31">
        <v>6.92</v>
      </c>
      <c r="L31" s="1">
        <v>93.180400000000006</v>
      </c>
      <c r="M31">
        <v>5</v>
      </c>
    </row>
    <row r="32" spans="1:13" x14ac:dyDescent="0.3">
      <c r="A32" t="s">
        <v>17</v>
      </c>
      <c r="B32">
        <v>31</v>
      </c>
      <c r="C32" t="s">
        <v>75</v>
      </c>
      <c r="D32" t="s">
        <v>42</v>
      </c>
      <c r="E32">
        <v>2016</v>
      </c>
      <c r="F32" t="s">
        <v>25</v>
      </c>
      <c r="G32" t="s">
        <v>14</v>
      </c>
      <c r="H32" t="s">
        <v>26</v>
      </c>
      <c r="I32" t="s">
        <v>16</v>
      </c>
      <c r="J32">
        <v>8.0640478000000002E-2</v>
      </c>
      <c r="K32">
        <v>5.82</v>
      </c>
      <c r="L32" s="1">
        <v>167.779</v>
      </c>
      <c r="M32">
        <v>5</v>
      </c>
    </row>
    <row r="33" spans="1:13" x14ac:dyDescent="0.3">
      <c r="A33" t="s">
        <v>17</v>
      </c>
      <c r="B33">
        <v>32</v>
      </c>
      <c r="C33" t="s">
        <v>76</v>
      </c>
      <c r="D33" t="s">
        <v>19</v>
      </c>
      <c r="E33">
        <v>2014</v>
      </c>
      <c r="F33" t="s">
        <v>29</v>
      </c>
      <c r="G33" t="s">
        <v>21</v>
      </c>
      <c r="H33" t="s">
        <v>30</v>
      </c>
      <c r="I33" t="s">
        <v>16</v>
      </c>
      <c r="J33">
        <v>1.9464180000000001E-2</v>
      </c>
      <c r="K33">
        <v>14.8</v>
      </c>
      <c r="L33" s="1">
        <v>196.3794</v>
      </c>
      <c r="M33">
        <v>5</v>
      </c>
    </row>
    <row r="34" spans="1:13" x14ac:dyDescent="0.3">
      <c r="A34" t="s">
        <v>17</v>
      </c>
      <c r="B34">
        <v>33</v>
      </c>
      <c r="C34" t="s">
        <v>77</v>
      </c>
      <c r="D34" t="s">
        <v>61</v>
      </c>
      <c r="E34">
        <v>2014</v>
      </c>
      <c r="F34" t="s">
        <v>29</v>
      </c>
      <c r="G34" t="s">
        <v>21</v>
      </c>
      <c r="H34" t="s">
        <v>30</v>
      </c>
      <c r="I34" t="s">
        <v>16</v>
      </c>
      <c r="J34">
        <v>4.6545785999999999E-2</v>
      </c>
      <c r="K34">
        <v>10.1</v>
      </c>
      <c r="L34" s="1">
        <v>59.9878</v>
      </c>
      <c r="M34">
        <v>5</v>
      </c>
    </row>
    <row r="35" spans="1:13" x14ac:dyDescent="0.3">
      <c r="A35" t="s">
        <v>17</v>
      </c>
      <c r="B35">
        <v>34</v>
      </c>
      <c r="C35" t="s">
        <v>78</v>
      </c>
      <c r="D35" t="s">
        <v>42</v>
      </c>
      <c r="E35">
        <v>2014</v>
      </c>
      <c r="F35" t="s">
        <v>29</v>
      </c>
      <c r="G35" t="s">
        <v>21</v>
      </c>
      <c r="H35" t="s">
        <v>30</v>
      </c>
      <c r="I35" t="s">
        <v>16</v>
      </c>
      <c r="J35">
        <v>0.18468975600000001</v>
      </c>
      <c r="K35">
        <v>7.67</v>
      </c>
      <c r="L35" s="1">
        <v>35.421599999999998</v>
      </c>
      <c r="M35">
        <v>5</v>
      </c>
    </row>
    <row r="36" spans="1:13" x14ac:dyDescent="0.3">
      <c r="A36" t="s">
        <v>17</v>
      </c>
      <c r="B36">
        <v>35</v>
      </c>
      <c r="C36" t="s">
        <v>79</v>
      </c>
      <c r="D36" t="s">
        <v>48</v>
      </c>
      <c r="E36">
        <v>2020</v>
      </c>
      <c r="F36" t="s">
        <v>37</v>
      </c>
      <c r="G36" t="s">
        <v>34</v>
      </c>
      <c r="H36" t="s">
        <v>15</v>
      </c>
      <c r="I36" t="s">
        <v>16</v>
      </c>
      <c r="J36">
        <v>2.5342692E-2</v>
      </c>
      <c r="K36">
        <v>15.6</v>
      </c>
      <c r="L36" s="1">
        <v>174.30539999999999</v>
      </c>
      <c r="M36">
        <v>5</v>
      </c>
    </row>
    <row r="37" spans="1:13" x14ac:dyDescent="0.3">
      <c r="A37" t="s">
        <v>35</v>
      </c>
      <c r="B37">
        <v>36</v>
      </c>
      <c r="C37" t="s">
        <v>80</v>
      </c>
      <c r="D37" t="s">
        <v>24</v>
      </c>
      <c r="E37">
        <v>2014</v>
      </c>
      <c r="F37" t="s">
        <v>29</v>
      </c>
      <c r="G37" t="s">
        <v>21</v>
      </c>
      <c r="H37" t="s">
        <v>30</v>
      </c>
      <c r="I37" t="s">
        <v>16</v>
      </c>
      <c r="J37">
        <v>3.7923509000000001E-2</v>
      </c>
      <c r="K37">
        <v>9.31</v>
      </c>
      <c r="L37" s="1">
        <v>61.651000000000003</v>
      </c>
      <c r="M37">
        <v>5</v>
      </c>
    </row>
    <row r="38" spans="1:13" x14ac:dyDescent="0.3">
      <c r="A38" t="s">
        <v>17</v>
      </c>
      <c r="B38">
        <v>37</v>
      </c>
      <c r="C38" t="s">
        <v>81</v>
      </c>
      <c r="D38" t="s">
        <v>12</v>
      </c>
      <c r="E38">
        <v>2015</v>
      </c>
      <c r="F38" t="s">
        <v>33</v>
      </c>
      <c r="G38" t="s">
        <v>34</v>
      </c>
      <c r="H38" t="s">
        <v>15</v>
      </c>
      <c r="I38" t="s">
        <v>16</v>
      </c>
      <c r="J38">
        <v>0.121848436</v>
      </c>
      <c r="K38">
        <v>11.8</v>
      </c>
      <c r="L38" s="1">
        <v>46.840200000000003</v>
      </c>
      <c r="M38">
        <v>5</v>
      </c>
    </row>
    <row r="39" spans="1:13" x14ac:dyDescent="0.3">
      <c r="A39" t="s">
        <v>10</v>
      </c>
      <c r="B39">
        <v>38</v>
      </c>
      <c r="C39" t="s">
        <v>82</v>
      </c>
      <c r="D39" t="s">
        <v>48</v>
      </c>
      <c r="E39">
        <v>2015</v>
      </c>
      <c r="F39" t="s">
        <v>33</v>
      </c>
      <c r="G39" t="s">
        <v>34</v>
      </c>
      <c r="H39" t="s">
        <v>15</v>
      </c>
      <c r="I39" t="s">
        <v>16</v>
      </c>
      <c r="J39">
        <v>3.8029746000000003E-2</v>
      </c>
      <c r="K39">
        <v>13.15</v>
      </c>
      <c r="L39" s="1">
        <v>88.685599999999994</v>
      </c>
      <c r="M39">
        <v>5</v>
      </c>
    </row>
    <row r="40" spans="1:13" x14ac:dyDescent="0.3">
      <c r="A40" t="s">
        <v>17</v>
      </c>
      <c r="B40">
        <v>39</v>
      </c>
      <c r="C40" t="s">
        <v>83</v>
      </c>
      <c r="D40" t="s">
        <v>12</v>
      </c>
      <c r="E40">
        <v>2012</v>
      </c>
      <c r="F40" t="s">
        <v>13</v>
      </c>
      <c r="G40" t="s">
        <v>14</v>
      </c>
      <c r="H40" t="s">
        <v>15</v>
      </c>
      <c r="I40" t="s">
        <v>16</v>
      </c>
      <c r="J40">
        <v>5.7485328000000002E-2</v>
      </c>
      <c r="K40">
        <v>16.25</v>
      </c>
      <c r="L40" s="1">
        <v>126.2046</v>
      </c>
      <c r="M40">
        <v>5</v>
      </c>
    </row>
    <row r="41" spans="1:13" x14ac:dyDescent="0.3">
      <c r="A41" t="s">
        <v>10</v>
      </c>
      <c r="B41">
        <v>40</v>
      </c>
      <c r="C41" t="s">
        <v>84</v>
      </c>
      <c r="D41" t="s">
        <v>54</v>
      </c>
      <c r="E41">
        <v>2016</v>
      </c>
      <c r="F41" t="s">
        <v>25</v>
      </c>
      <c r="G41" t="s">
        <v>14</v>
      </c>
      <c r="H41" t="s">
        <v>26</v>
      </c>
      <c r="I41" t="s">
        <v>16</v>
      </c>
      <c r="J41">
        <v>8.5274987999999996E-2</v>
      </c>
      <c r="K41">
        <v>13.85</v>
      </c>
      <c r="L41" s="1">
        <v>119.61239999999999</v>
      </c>
      <c r="M41">
        <v>5</v>
      </c>
    </row>
    <row r="42" spans="1:13" x14ac:dyDescent="0.3">
      <c r="A42" t="s">
        <v>10</v>
      </c>
      <c r="B42">
        <v>41</v>
      </c>
      <c r="C42" t="s">
        <v>85</v>
      </c>
      <c r="D42" t="s">
        <v>67</v>
      </c>
      <c r="E42">
        <v>2014</v>
      </c>
      <c r="F42" t="s">
        <v>29</v>
      </c>
      <c r="G42" t="s">
        <v>21</v>
      </c>
      <c r="H42" t="s">
        <v>30</v>
      </c>
      <c r="I42" t="s">
        <v>16</v>
      </c>
      <c r="J42">
        <v>0.108148913</v>
      </c>
      <c r="K42">
        <v>6.75</v>
      </c>
      <c r="L42" s="1">
        <v>95.675200000000004</v>
      </c>
      <c r="M42">
        <v>5</v>
      </c>
    </row>
    <row r="43" spans="1:13" x14ac:dyDescent="0.3">
      <c r="A43" t="s">
        <v>10</v>
      </c>
      <c r="B43">
        <v>42</v>
      </c>
      <c r="C43" t="s">
        <v>86</v>
      </c>
      <c r="D43" t="s">
        <v>12</v>
      </c>
      <c r="E43">
        <v>2018</v>
      </c>
      <c r="F43" t="s">
        <v>45</v>
      </c>
      <c r="G43" t="s">
        <v>21</v>
      </c>
      <c r="H43" t="s">
        <v>15</v>
      </c>
      <c r="I43" t="s">
        <v>46</v>
      </c>
      <c r="J43">
        <v>1.8838680999999999E-2</v>
      </c>
      <c r="K43"/>
      <c r="L43" s="1">
        <v>62.953600000000002</v>
      </c>
      <c r="M43">
        <v>5</v>
      </c>
    </row>
    <row r="44" spans="1:13" x14ac:dyDescent="0.3">
      <c r="A44" t="s">
        <v>17</v>
      </c>
      <c r="B44">
        <v>43</v>
      </c>
      <c r="C44" t="s">
        <v>87</v>
      </c>
      <c r="D44" t="s">
        <v>61</v>
      </c>
      <c r="E44">
        <v>2015</v>
      </c>
      <c r="F44" t="s">
        <v>33</v>
      </c>
      <c r="G44" t="s">
        <v>34</v>
      </c>
      <c r="H44" t="s">
        <v>15</v>
      </c>
      <c r="I44" t="s">
        <v>16</v>
      </c>
      <c r="J44">
        <v>4.8115542999999997E-2</v>
      </c>
      <c r="K44">
        <v>10.5</v>
      </c>
      <c r="L44" s="1">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s="1">
        <v>104.29640000000001</v>
      </c>
      <c r="M45">
        <v>5</v>
      </c>
    </row>
    <row r="46" spans="1:13" x14ac:dyDescent="0.3">
      <c r="A46" t="s">
        <v>10</v>
      </c>
      <c r="B46">
        <v>45</v>
      </c>
      <c r="C46" t="s">
        <v>89</v>
      </c>
      <c r="D46" t="s">
        <v>74</v>
      </c>
      <c r="E46">
        <v>2011</v>
      </c>
      <c r="F46" t="s">
        <v>39</v>
      </c>
      <c r="G46" t="s">
        <v>21</v>
      </c>
      <c r="H46" t="s">
        <v>15</v>
      </c>
      <c r="I46" t="s">
        <v>40</v>
      </c>
      <c r="J46">
        <v>0.10599465399999999</v>
      </c>
      <c r="K46">
        <v>20.75</v>
      </c>
      <c r="L46" s="1">
        <v>150.56819999999999</v>
      </c>
      <c r="M46">
        <v>5</v>
      </c>
    </row>
    <row r="47" spans="1:13" x14ac:dyDescent="0.3">
      <c r="A47" t="s">
        <v>17</v>
      </c>
      <c r="B47">
        <v>46</v>
      </c>
      <c r="C47" t="s">
        <v>90</v>
      </c>
      <c r="D47" t="s">
        <v>64</v>
      </c>
      <c r="E47">
        <v>2014</v>
      </c>
      <c r="F47" t="s">
        <v>29</v>
      </c>
      <c r="G47" t="s">
        <v>21</v>
      </c>
      <c r="H47" t="s">
        <v>30</v>
      </c>
      <c r="I47" t="s">
        <v>16</v>
      </c>
      <c r="J47">
        <v>0.18250177300000001</v>
      </c>
      <c r="K47">
        <v>19.2</v>
      </c>
      <c r="L47" s="1">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s="1">
        <v>127.3336</v>
      </c>
      <c r="M48">
        <v>5</v>
      </c>
    </row>
    <row r="49" spans="1:13" x14ac:dyDescent="0.3">
      <c r="A49" t="s">
        <v>17</v>
      </c>
      <c r="B49">
        <v>48</v>
      </c>
      <c r="C49" t="s">
        <v>92</v>
      </c>
      <c r="D49" t="s">
        <v>24</v>
      </c>
      <c r="E49">
        <v>2012</v>
      </c>
      <c r="F49" t="s">
        <v>13</v>
      </c>
      <c r="G49" t="s">
        <v>14</v>
      </c>
      <c r="H49" t="s">
        <v>15</v>
      </c>
      <c r="I49" t="s">
        <v>16</v>
      </c>
      <c r="J49">
        <v>1.3658248E-2</v>
      </c>
      <c r="K49">
        <v>17.5</v>
      </c>
      <c r="L49" s="1">
        <v>256.3304</v>
      </c>
      <c r="M49">
        <v>5</v>
      </c>
    </row>
    <row r="50" spans="1:13" x14ac:dyDescent="0.3">
      <c r="A50" t="s">
        <v>17</v>
      </c>
      <c r="B50">
        <v>49</v>
      </c>
      <c r="C50" t="s">
        <v>93</v>
      </c>
      <c r="D50" t="s">
        <v>42</v>
      </c>
      <c r="E50">
        <v>2012</v>
      </c>
      <c r="F50" t="s">
        <v>13</v>
      </c>
      <c r="G50" t="s">
        <v>14</v>
      </c>
      <c r="H50" t="s">
        <v>15</v>
      </c>
      <c r="I50" t="s">
        <v>16</v>
      </c>
      <c r="J50">
        <v>1.1305479E-2</v>
      </c>
      <c r="K50">
        <v>10.5</v>
      </c>
      <c r="L50" s="1">
        <v>235.5248</v>
      </c>
      <c r="M50">
        <v>5</v>
      </c>
    </row>
    <row r="51" spans="1:13" x14ac:dyDescent="0.3">
      <c r="A51" t="s">
        <v>17</v>
      </c>
      <c r="B51">
        <v>50</v>
      </c>
      <c r="C51" t="s">
        <v>94</v>
      </c>
      <c r="D51" t="s">
        <v>95</v>
      </c>
      <c r="E51">
        <v>2012</v>
      </c>
      <c r="F51" t="s">
        <v>13</v>
      </c>
      <c r="G51" t="s">
        <v>14</v>
      </c>
      <c r="H51" t="s">
        <v>15</v>
      </c>
      <c r="I51" t="s">
        <v>16</v>
      </c>
      <c r="J51">
        <v>1.4653896E-2</v>
      </c>
      <c r="K51">
        <v>7.9749999999999996</v>
      </c>
      <c r="L51" s="1">
        <v>82.424999999999997</v>
      </c>
      <c r="M51">
        <v>5</v>
      </c>
    </row>
    <row r="52" spans="1:13" x14ac:dyDescent="0.3">
      <c r="A52" t="s">
        <v>17</v>
      </c>
      <c r="B52">
        <v>51</v>
      </c>
      <c r="C52" t="s">
        <v>96</v>
      </c>
      <c r="D52" t="s">
        <v>28</v>
      </c>
      <c r="E52">
        <v>2012</v>
      </c>
      <c r="F52" t="s">
        <v>13</v>
      </c>
      <c r="G52" t="s">
        <v>14</v>
      </c>
      <c r="H52" t="s">
        <v>15</v>
      </c>
      <c r="I52" t="s">
        <v>16</v>
      </c>
      <c r="J52">
        <v>2.5867352999999999E-2</v>
      </c>
      <c r="K52">
        <v>10</v>
      </c>
      <c r="L52" s="1">
        <v>264.62259999999998</v>
      </c>
      <c r="M52">
        <v>5</v>
      </c>
    </row>
    <row r="53" spans="1:13" x14ac:dyDescent="0.3">
      <c r="A53" t="s">
        <v>17</v>
      </c>
      <c r="B53">
        <v>52</v>
      </c>
      <c r="C53" t="s">
        <v>97</v>
      </c>
      <c r="D53" t="s">
        <v>28</v>
      </c>
      <c r="E53">
        <v>2012</v>
      </c>
      <c r="F53" t="s">
        <v>13</v>
      </c>
      <c r="G53" t="s">
        <v>14</v>
      </c>
      <c r="H53" t="s">
        <v>15</v>
      </c>
      <c r="I53" t="s">
        <v>16</v>
      </c>
      <c r="J53">
        <v>2.4201904999999999E-2</v>
      </c>
      <c r="K53">
        <v>10.1</v>
      </c>
      <c r="L53" s="1">
        <v>114.91500000000001</v>
      </c>
      <c r="M53">
        <v>5</v>
      </c>
    </row>
    <row r="54" spans="1:13" x14ac:dyDescent="0.3">
      <c r="A54" t="s">
        <v>17</v>
      </c>
      <c r="B54">
        <v>53</v>
      </c>
      <c r="C54" t="s">
        <v>98</v>
      </c>
      <c r="D54" t="s">
        <v>67</v>
      </c>
      <c r="E54">
        <v>2012</v>
      </c>
      <c r="F54" t="s">
        <v>13</v>
      </c>
      <c r="G54" t="s">
        <v>14</v>
      </c>
      <c r="H54" t="s">
        <v>15</v>
      </c>
      <c r="I54" t="s">
        <v>16</v>
      </c>
      <c r="J54">
        <v>2.8461453000000001E-2</v>
      </c>
      <c r="K54">
        <v>8.93</v>
      </c>
      <c r="L54" s="1">
        <v>152.23400000000001</v>
      </c>
      <c r="M54">
        <v>5</v>
      </c>
    </row>
    <row r="55" spans="1:13" x14ac:dyDescent="0.3">
      <c r="A55" t="s">
        <v>17</v>
      </c>
      <c r="B55">
        <v>54</v>
      </c>
      <c r="C55" t="s">
        <v>99</v>
      </c>
      <c r="D55" t="s">
        <v>24</v>
      </c>
      <c r="E55">
        <v>2012</v>
      </c>
      <c r="F55" t="s">
        <v>13</v>
      </c>
      <c r="G55" t="s">
        <v>14</v>
      </c>
      <c r="H55" t="s">
        <v>15</v>
      </c>
      <c r="I55" t="s">
        <v>16</v>
      </c>
      <c r="J55">
        <v>8.6266285999999998E-2</v>
      </c>
      <c r="K55">
        <v>7.3</v>
      </c>
      <c r="L55" s="1">
        <v>147.20760000000001</v>
      </c>
      <c r="M55">
        <v>5</v>
      </c>
    </row>
    <row r="56" spans="1:13" x14ac:dyDescent="0.3">
      <c r="A56" t="s">
        <v>17</v>
      </c>
      <c r="B56">
        <v>55</v>
      </c>
      <c r="C56" t="s">
        <v>100</v>
      </c>
      <c r="D56" t="s">
        <v>24</v>
      </c>
      <c r="E56">
        <v>2012</v>
      </c>
      <c r="F56" t="s">
        <v>13</v>
      </c>
      <c r="G56" t="s">
        <v>14</v>
      </c>
      <c r="H56" t="s">
        <v>15</v>
      </c>
      <c r="I56" t="s">
        <v>16</v>
      </c>
      <c r="J56">
        <v>5.5570619999999998E-3</v>
      </c>
      <c r="K56">
        <v>7.93</v>
      </c>
      <c r="L56" s="1">
        <v>122.1414</v>
      </c>
      <c r="M56">
        <v>5</v>
      </c>
    </row>
    <row r="57" spans="1:13" x14ac:dyDescent="0.3">
      <c r="A57" t="s">
        <v>17</v>
      </c>
      <c r="B57">
        <v>56</v>
      </c>
      <c r="C57" t="s">
        <v>101</v>
      </c>
      <c r="D57" t="s">
        <v>24</v>
      </c>
      <c r="E57">
        <v>2012</v>
      </c>
      <c r="F57" t="s">
        <v>13</v>
      </c>
      <c r="G57" t="s">
        <v>14</v>
      </c>
      <c r="H57" t="s">
        <v>15</v>
      </c>
      <c r="I57" t="s">
        <v>16</v>
      </c>
      <c r="J57">
        <v>1.3834246999999999E-2</v>
      </c>
      <c r="K57">
        <v>15.35</v>
      </c>
      <c r="L57" s="1">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s="1">
        <v>120.9098</v>
      </c>
      <c r="M58">
        <v>5</v>
      </c>
    </row>
    <row r="59" spans="1:13" x14ac:dyDescent="0.3">
      <c r="A59" t="s">
        <v>17</v>
      </c>
      <c r="B59">
        <v>58</v>
      </c>
      <c r="C59" t="s">
        <v>103</v>
      </c>
      <c r="D59" t="s">
        <v>12</v>
      </c>
      <c r="E59">
        <v>2012</v>
      </c>
      <c r="F59" t="s">
        <v>13</v>
      </c>
      <c r="G59" t="s">
        <v>14</v>
      </c>
      <c r="H59" t="s">
        <v>15</v>
      </c>
      <c r="I59" t="s">
        <v>16</v>
      </c>
      <c r="J59">
        <v>3.1331580999999997E-2</v>
      </c>
      <c r="K59">
        <v>9.5</v>
      </c>
      <c r="L59" s="1">
        <v>111.1228</v>
      </c>
      <c r="M59">
        <v>5</v>
      </c>
    </row>
    <row r="60" spans="1:13" x14ac:dyDescent="0.3">
      <c r="A60" t="s">
        <v>17</v>
      </c>
      <c r="B60">
        <v>59</v>
      </c>
      <c r="C60" t="s">
        <v>104</v>
      </c>
      <c r="D60" t="s">
        <v>12</v>
      </c>
      <c r="E60">
        <v>2012</v>
      </c>
      <c r="F60" t="s">
        <v>13</v>
      </c>
      <c r="G60" t="s">
        <v>14</v>
      </c>
      <c r="H60" t="s">
        <v>15</v>
      </c>
      <c r="I60" t="s">
        <v>16</v>
      </c>
      <c r="J60">
        <v>4.1459804000000003E-2</v>
      </c>
      <c r="K60">
        <v>10.5</v>
      </c>
      <c r="L60" s="1">
        <v>39.2164</v>
      </c>
      <c r="M60">
        <v>5</v>
      </c>
    </row>
    <row r="61" spans="1:13" x14ac:dyDescent="0.3">
      <c r="A61" t="s">
        <v>17</v>
      </c>
      <c r="B61">
        <v>60</v>
      </c>
      <c r="C61" t="s">
        <v>105</v>
      </c>
      <c r="D61" t="s">
        <v>12</v>
      </c>
      <c r="E61">
        <v>2012</v>
      </c>
      <c r="F61" t="s">
        <v>13</v>
      </c>
      <c r="G61" t="s">
        <v>14</v>
      </c>
      <c r="H61" t="s">
        <v>15</v>
      </c>
      <c r="I61" t="s">
        <v>16</v>
      </c>
      <c r="J61">
        <v>0</v>
      </c>
      <c r="K61">
        <v>15.6</v>
      </c>
      <c r="L61" s="1">
        <v>111.95180000000001</v>
      </c>
      <c r="M61">
        <v>5</v>
      </c>
    </row>
    <row r="62" spans="1:13" x14ac:dyDescent="0.3">
      <c r="A62" t="s">
        <v>17</v>
      </c>
      <c r="B62">
        <v>61</v>
      </c>
      <c r="C62" t="s">
        <v>106</v>
      </c>
      <c r="D62" t="s">
        <v>61</v>
      </c>
      <c r="E62">
        <v>2012</v>
      </c>
      <c r="F62" t="s">
        <v>13</v>
      </c>
      <c r="G62" t="s">
        <v>14</v>
      </c>
      <c r="H62" t="s">
        <v>15</v>
      </c>
      <c r="I62" t="s">
        <v>16</v>
      </c>
      <c r="J62">
        <v>3.597678E-3</v>
      </c>
      <c r="K62">
        <v>5.88</v>
      </c>
      <c r="L62" s="1">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s="1">
        <v>153.3682</v>
      </c>
      <c r="M63">
        <v>5</v>
      </c>
    </row>
    <row r="64" spans="1:13" x14ac:dyDescent="0.3">
      <c r="A64" t="s">
        <v>17</v>
      </c>
      <c r="B64">
        <v>63</v>
      </c>
      <c r="C64" t="s">
        <v>108</v>
      </c>
      <c r="D64" t="s">
        <v>19</v>
      </c>
      <c r="E64">
        <v>2012</v>
      </c>
      <c r="F64" t="s">
        <v>13</v>
      </c>
      <c r="G64" t="s">
        <v>14</v>
      </c>
      <c r="H64" t="s">
        <v>15</v>
      </c>
      <c r="I64" t="s">
        <v>16</v>
      </c>
      <c r="J64">
        <v>3.5247642000000003E-2</v>
      </c>
      <c r="K64">
        <v>10.6</v>
      </c>
      <c r="L64" s="1">
        <v>84.722399999999993</v>
      </c>
      <c r="M64">
        <v>5</v>
      </c>
    </row>
    <row r="65" spans="1:13" x14ac:dyDescent="0.3">
      <c r="A65" t="s">
        <v>17</v>
      </c>
      <c r="B65">
        <v>64</v>
      </c>
      <c r="C65" t="s">
        <v>109</v>
      </c>
      <c r="D65" t="s">
        <v>42</v>
      </c>
      <c r="E65">
        <v>2012</v>
      </c>
      <c r="F65" t="s">
        <v>13</v>
      </c>
      <c r="G65" t="s">
        <v>14</v>
      </c>
      <c r="H65" t="s">
        <v>15</v>
      </c>
      <c r="I65" t="s">
        <v>16</v>
      </c>
      <c r="J65">
        <v>2.8365524E-2</v>
      </c>
      <c r="K65">
        <v>6.13</v>
      </c>
      <c r="L65" s="1">
        <v>110.0912</v>
      </c>
      <c r="M65">
        <v>5</v>
      </c>
    </row>
    <row r="66" spans="1:13" x14ac:dyDescent="0.3">
      <c r="A66" t="s">
        <v>17</v>
      </c>
      <c r="B66">
        <v>65</v>
      </c>
      <c r="C66" t="s">
        <v>110</v>
      </c>
      <c r="D66" t="s">
        <v>42</v>
      </c>
      <c r="E66">
        <v>2012</v>
      </c>
      <c r="F66" t="s">
        <v>13</v>
      </c>
      <c r="G66" t="s">
        <v>14</v>
      </c>
      <c r="H66" t="s">
        <v>15</v>
      </c>
      <c r="I66" t="s">
        <v>16</v>
      </c>
      <c r="J66">
        <v>1.5186145999999999E-2</v>
      </c>
      <c r="K66">
        <v>6.38</v>
      </c>
      <c r="L66" s="1">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s="1">
        <v>107.76220000000001</v>
      </c>
      <c r="M67">
        <v>5</v>
      </c>
    </row>
    <row r="68" spans="1:13" x14ac:dyDescent="0.3">
      <c r="A68" t="s">
        <v>17</v>
      </c>
      <c r="B68">
        <v>67</v>
      </c>
      <c r="C68" t="s">
        <v>112</v>
      </c>
      <c r="D68" t="s">
        <v>42</v>
      </c>
      <c r="E68">
        <v>2012</v>
      </c>
      <c r="F68" t="s">
        <v>13</v>
      </c>
      <c r="G68" t="s">
        <v>14</v>
      </c>
      <c r="H68" t="s">
        <v>15</v>
      </c>
      <c r="I68" t="s">
        <v>16</v>
      </c>
      <c r="J68">
        <v>4.7791878000000003E-2</v>
      </c>
      <c r="K68">
        <v>11.3</v>
      </c>
      <c r="L68" s="1">
        <v>180.76599999999999</v>
      </c>
      <c r="M68">
        <v>5</v>
      </c>
    </row>
    <row r="69" spans="1:13" x14ac:dyDescent="0.3">
      <c r="A69" t="s">
        <v>17</v>
      </c>
      <c r="B69">
        <v>68</v>
      </c>
      <c r="C69" t="s">
        <v>113</v>
      </c>
      <c r="D69" t="s">
        <v>42</v>
      </c>
      <c r="E69">
        <v>2012</v>
      </c>
      <c r="F69" t="s">
        <v>13</v>
      </c>
      <c r="G69" t="s">
        <v>14</v>
      </c>
      <c r="H69" t="s">
        <v>15</v>
      </c>
      <c r="I69" t="s">
        <v>16</v>
      </c>
      <c r="J69">
        <v>7.4680559999999998E-3</v>
      </c>
      <c r="K69">
        <v>12.6</v>
      </c>
      <c r="L69" s="1">
        <v>186.9556</v>
      </c>
      <c r="M69">
        <v>5</v>
      </c>
    </row>
    <row r="70" spans="1:13" x14ac:dyDescent="0.3">
      <c r="A70" t="s">
        <v>17</v>
      </c>
      <c r="B70">
        <v>69</v>
      </c>
      <c r="C70" t="s">
        <v>114</v>
      </c>
      <c r="D70" t="s">
        <v>42</v>
      </c>
      <c r="E70">
        <v>2012</v>
      </c>
      <c r="F70" t="s">
        <v>13</v>
      </c>
      <c r="G70" t="s">
        <v>14</v>
      </c>
      <c r="H70" t="s">
        <v>15</v>
      </c>
      <c r="I70" t="s">
        <v>16</v>
      </c>
      <c r="J70">
        <v>0.113694957</v>
      </c>
      <c r="K70">
        <v>17.25</v>
      </c>
      <c r="L70" s="1">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s="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s="1">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s="1">
        <v>249.64080000000001</v>
      </c>
      <c r="M73">
        <v>5</v>
      </c>
    </row>
    <row r="74" spans="1:13" x14ac:dyDescent="0.3">
      <c r="A74" t="s">
        <v>17</v>
      </c>
      <c r="B74">
        <v>73</v>
      </c>
      <c r="C74" t="s">
        <v>118</v>
      </c>
      <c r="D74" t="s">
        <v>48</v>
      </c>
      <c r="E74">
        <v>2012</v>
      </c>
      <c r="F74" t="s">
        <v>13</v>
      </c>
      <c r="G74" t="s">
        <v>14</v>
      </c>
      <c r="H74" t="s">
        <v>15</v>
      </c>
      <c r="I74" t="s">
        <v>16</v>
      </c>
      <c r="J74">
        <v>2.8988288000000001E-2</v>
      </c>
      <c r="K74">
        <v>10.8</v>
      </c>
      <c r="L74" s="1">
        <v>239.22219999999999</v>
      </c>
      <c r="M74">
        <v>5</v>
      </c>
    </row>
    <row r="75" spans="1:13" x14ac:dyDescent="0.3">
      <c r="A75" t="s">
        <v>17</v>
      </c>
      <c r="B75">
        <v>74</v>
      </c>
      <c r="C75" t="s">
        <v>119</v>
      </c>
      <c r="D75" t="s">
        <v>48</v>
      </c>
      <c r="E75">
        <v>2012</v>
      </c>
      <c r="F75" t="s">
        <v>13</v>
      </c>
      <c r="G75" t="s">
        <v>14</v>
      </c>
      <c r="H75" t="s">
        <v>15</v>
      </c>
      <c r="I75" t="s">
        <v>16</v>
      </c>
      <c r="J75">
        <v>2.0600553000000001E-2</v>
      </c>
      <c r="K75">
        <v>12.1</v>
      </c>
      <c r="L75" s="1">
        <v>147.57339999999999</v>
      </c>
      <c r="M75">
        <v>5</v>
      </c>
    </row>
    <row r="76" spans="1:13" x14ac:dyDescent="0.3">
      <c r="A76" t="s">
        <v>10</v>
      </c>
      <c r="B76">
        <v>75</v>
      </c>
      <c r="C76" t="s">
        <v>120</v>
      </c>
      <c r="D76" t="s">
        <v>95</v>
      </c>
      <c r="E76">
        <v>2012</v>
      </c>
      <c r="F76" t="s">
        <v>13</v>
      </c>
      <c r="G76" t="s">
        <v>14</v>
      </c>
      <c r="H76" t="s">
        <v>15</v>
      </c>
      <c r="I76" t="s">
        <v>16</v>
      </c>
      <c r="J76">
        <v>7.5868843000000005E-2</v>
      </c>
      <c r="K76">
        <v>15.5</v>
      </c>
      <c r="L76" s="1">
        <v>261.7568</v>
      </c>
      <c r="M76">
        <v>5</v>
      </c>
    </row>
    <row r="77" spans="1:13" x14ac:dyDescent="0.3">
      <c r="A77" t="s">
        <v>10</v>
      </c>
      <c r="B77">
        <v>76</v>
      </c>
      <c r="C77" t="s">
        <v>121</v>
      </c>
      <c r="D77" t="s">
        <v>95</v>
      </c>
      <c r="E77">
        <v>2012</v>
      </c>
      <c r="F77" t="s">
        <v>13</v>
      </c>
      <c r="G77" t="s">
        <v>14</v>
      </c>
      <c r="H77" t="s">
        <v>15</v>
      </c>
      <c r="I77" t="s">
        <v>16</v>
      </c>
      <c r="J77">
        <v>7.9419754999999995E-2</v>
      </c>
      <c r="K77">
        <v>20.7</v>
      </c>
      <c r="L77" s="1">
        <v>99.804199999999994</v>
      </c>
      <c r="M77">
        <v>5</v>
      </c>
    </row>
    <row r="78" spans="1:13" x14ac:dyDescent="0.3">
      <c r="A78" t="s">
        <v>10</v>
      </c>
      <c r="B78">
        <v>77</v>
      </c>
      <c r="C78" t="s">
        <v>122</v>
      </c>
      <c r="D78" t="s">
        <v>57</v>
      </c>
      <c r="E78">
        <v>2012</v>
      </c>
      <c r="F78" t="s">
        <v>13</v>
      </c>
      <c r="G78" t="s">
        <v>14</v>
      </c>
      <c r="H78" t="s">
        <v>15</v>
      </c>
      <c r="I78" t="s">
        <v>16</v>
      </c>
      <c r="J78">
        <v>3.0311951E-2</v>
      </c>
      <c r="K78">
        <v>8</v>
      </c>
      <c r="L78" s="1">
        <v>247.4092</v>
      </c>
      <c r="M78">
        <v>5</v>
      </c>
    </row>
    <row r="79" spans="1:13" x14ac:dyDescent="0.3">
      <c r="A79" t="s">
        <v>10</v>
      </c>
      <c r="B79">
        <v>78</v>
      </c>
      <c r="C79" t="s">
        <v>123</v>
      </c>
      <c r="D79" t="s">
        <v>28</v>
      </c>
      <c r="E79">
        <v>2012</v>
      </c>
      <c r="F79" t="s">
        <v>13</v>
      </c>
      <c r="G79" t="s">
        <v>14</v>
      </c>
      <c r="H79" t="s">
        <v>15</v>
      </c>
      <c r="I79" t="s">
        <v>16</v>
      </c>
      <c r="J79">
        <v>3.0742083E-2</v>
      </c>
      <c r="K79">
        <v>19.5</v>
      </c>
      <c r="L79" s="1">
        <v>85.554000000000002</v>
      </c>
      <c r="M79">
        <v>5</v>
      </c>
    </row>
    <row r="80" spans="1:13" x14ac:dyDescent="0.3">
      <c r="A80" t="s">
        <v>10</v>
      </c>
      <c r="B80">
        <v>79</v>
      </c>
      <c r="C80" t="s">
        <v>124</v>
      </c>
      <c r="D80" t="s">
        <v>67</v>
      </c>
      <c r="E80">
        <v>2012</v>
      </c>
      <c r="F80" t="s">
        <v>13</v>
      </c>
      <c r="G80" t="s">
        <v>14</v>
      </c>
      <c r="H80" t="s">
        <v>15</v>
      </c>
      <c r="I80" t="s">
        <v>16</v>
      </c>
      <c r="J80">
        <v>2.9768869999999999E-2</v>
      </c>
      <c r="K80">
        <v>14</v>
      </c>
      <c r="L80" s="1">
        <v>145.4786</v>
      </c>
      <c r="M80">
        <v>5</v>
      </c>
    </row>
    <row r="81" spans="1:13" x14ac:dyDescent="0.3">
      <c r="A81" t="s">
        <v>10</v>
      </c>
      <c r="B81">
        <v>80</v>
      </c>
      <c r="C81" t="s">
        <v>125</v>
      </c>
      <c r="D81" t="s">
        <v>67</v>
      </c>
      <c r="E81">
        <v>2012</v>
      </c>
      <c r="F81" t="s">
        <v>13</v>
      </c>
      <c r="G81" t="s">
        <v>14</v>
      </c>
      <c r="H81" t="s">
        <v>15</v>
      </c>
      <c r="I81" t="s">
        <v>16</v>
      </c>
      <c r="J81">
        <v>0</v>
      </c>
      <c r="K81">
        <v>20.25</v>
      </c>
      <c r="L81" s="1">
        <v>194.27940000000001</v>
      </c>
      <c r="M81">
        <v>5</v>
      </c>
    </row>
    <row r="82" spans="1:13" x14ac:dyDescent="0.3">
      <c r="A82" t="s">
        <v>10</v>
      </c>
      <c r="B82">
        <v>81</v>
      </c>
      <c r="C82" t="s">
        <v>126</v>
      </c>
      <c r="D82" t="s">
        <v>24</v>
      </c>
      <c r="E82">
        <v>2012</v>
      </c>
      <c r="F82" t="s">
        <v>13</v>
      </c>
      <c r="G82" t="s">
        <v>14</v>
      </c>
      <c r="H82" t="s">
        <v>15</v>
      </c>
      <c r="I82" t="s">
        <v>16</v>
      </c>
      <c r="J82">
        <v>6.6833743000000001E-2</v>
      </c>
      <c r="K82">
        <v>11.3</v>
      </c>
      <c r="L82" s="1">
        <v>257.2962</v>
      </c>
      <c r="M82">
        <v>5</v>
      </c>
    </row>
    <row r="83" spans="1:13" x14ac:dyDescent="0.3">
      <c r="A83" t="s">
        <v>10</v>
      </c>
      <c r="B83">
        <v>82</v>
      </c>
      <c r="C83" t="s">
        <v>127</v>
      </c>
      <c r="D83" t="s">
        <v>24</v>
      </c>
      <c r="E83">
        <v>2012</v>
      </c>
      <c r="F83" t="s">
        <v>13</v>
      </c>
      <c r="G83" t="s">
        <v>14</v>
      </c>
      <c r="H83" t="s">
        <v>15</v>
      </c>
      <c r="I83" t="s">
        <v>16</v>
      </c>
      <c r="J83">
        <v>7.7284565999999999E-2</v>
      </c>
      <c r="K83">
        <v>11.6</v>
      </c>
      <c r="L83" s="1">
        <v>172.41059999999999</v>
      </c>
      <c r="M83">
        <v>5</v>
      </c>
    </row>
    <row r="84" spans="1:13" x14ac:dyDescent="0.3">
      <c r="A84" t="s">
        <v>10</v>
      </c>
      <c r="B84">
        <v>83</v>
      </c>
      <c r="C84" t="s">
        <v>128</v>
      </c>
      <c r="D84" t="s">
        <v>24</v>
      </c>
      <c r="E84">
        <v>2012</v>
      </c>
      <c r="F84" t="s">
        <v>13</v>
      </c>
      <c r="G84" t="s">
        <v>14</v>
      </c>
      <c r="H84" t="s">
        <v>15</v>
      </c>
      <c r="I84" t="s">
        <v>16</v>
      </c>
      <c r="J84">
        <v>9.9425550000000001E-2</v>
      </c>
      <c r="K84">
        <v>16</v>
      </c>
      <c r="L84" s="1">
        <v>87.085599999999999</v>
      </c>
      <c r="M84">
        <v>5</v>
      </c>
    </row>
    <row r="85" spans="1:13" x14ac:dyDescent="0.3">
      <c r="A85" t="s">
        <v>10</v>
      </c>
      <c r="B85">
        <v>84</v>
      </c>
      <c r="C85" t="s">
        <v>129</v>
      </c>
      <c r="D85" t="s">
        <v>54</v>
      </c>
      <c r="E85">
        <v>2012</v>
      </c>
      <c r="F85" t="s">
        <v>13</v>
      </c>
      <c r="G85" t="s">
        <v>14</v>
      </c>
      <c r="H85" t="s">
        <v>15</v>
      </c>
      <c r="I85" t="s">
        <v>16</v>
      </c>
      <c r="J85">
        <v>1.2477512E-2</v>
      </c>
      <c r="K85">
        <v>10.195</v>
      </c>
      <c r="L85" s="1">
        <v>197.11099999999999</v>
      </c>
      <c r="M85">
        <v>5</v>
      </c>
    </row>
    <row r="86" spans="1:13" x14ac:dyDescent="0.3">
      <c r="A86" t="s">
        <v>10</v>
      </c>
      <c r="B86">
        <v>85</v>
      </c>
      <c r="C86" t="s">
        <v>130</v>
      </c>
      <c r="D86" t="s">
        <v>54</v>
      </c>
      <c r="E86">
        <v>2012</v>
      </c>
      <c r="F86" t="s">
        <v>13</v>
      </c>
      <c r="G86" t="s">
        <v>14</v>
      </c>
      <c r="H86" t="s">
        <v>15</v>
      </c>
      <c r="I86" t="s">
        <v>16</v>
      </c>
      <c r="J86">
        <v>2.6643448E-2</v>
      </c>
      <c r="K86">
        <v>13.65</v>
      </c>
      <c r="L86" s="1">
        <v>37.953200000000002</v>
      </c>
      <c r="M86">
        <v>5</v>
      </c>
    </row>
    <row r="87" spans="1:13" x14ac:dyDescent="0.3">
      <c r="A87" t="s">
        <v>10</v>
      </c>
      <c r="B87">
        <v>86</v>
      </c>
      <c r="C87" t="s">
        <v>131</v>
      </c>
      <c r="D87" t="s">
        <v>48</v>
      </c>
      <c r="E87">
        <v>2012</v>
      </c>
      <c r="F87" t="s">
        <v>13</v>
      </c>
      <c r="G87" t="s">
        <v>14</v>
      </c>
      <c r="H87" t="s">
        <v>15</v>
      </c>
      <c r="I87" t="s">
        <v>16</v>
      </c>
      <c r="J87">
        <v>2.7386121999999999E-2</v>
      </c>
      <c r="K87">
        <v>9.6</v>
      </c>
      <c r="L87" s="1">
        <v>259.23039999999997</v>
      </c>
      <c r="M87">
        <v>5</v>
      </c>
    </row>
    <row r="88" spans="1:13" x14ac:dyDescent="0.3">
      <c r="A88" t="s">
        <v>10</v>
      </c>
      <c r="B88">
        <v>87</v>
      </c>
      <c r="C88" t="s">
        <v>132</v>
      </c>
      <c r="D88" t="s">
        <v>48</v>
      </c>
      <c r="E88">
        <v>2012</v>
      </c>
      <c r="F88" t="s">
        <v>13</v>
      </c>
      <c r="G88" t="s">
        <v>14</v>
      </c>
      <c r="H88" t="s">
        <v>15</v>
      </c>
      <c r="I88" t="s">
        <v>16</v>
      </c>
      <c r="J88">
        <v>1.1443221999999999E-2</v>
      </c>
      <c r="K88">
        <v>10.695</v>
      </c>
      <c r="L88" s="1">
        <v>73.503799999999998</v>
      </c>
      <c r="M88">
        <v>5</v>
      </c>
    </row>
    <row r="89" spans="1:13" x14ac:dyDescent="0.3">
      <c r="A89" t="s">
        <v>10</v>
      </c>
      <c r="B89">
        <v>88</v>
      </c>
      <c r="C89" t="s">
        <v>133</v>
      </c>
      <c r="D89" t="s">
        <v>48</v>
      </c>
      <c r="E89">
        <v>2012</v>
      </c>
      <c r="F89" t="s">
        <v>13</v>
      </c>
      <c r="G89" t="s">
        <v>14</v>
      </c>
      <c r="H89" t="s">
        <v>15</v>
      </c>
      <c r="I89" t="s">
        <v>16</v>
      </c>
      <c r="J89">
        <v>5.8207113999999997E-2</v>
      </c>
      <c r="K89">
        <v>12.3</v>
      </c>
      <c r="L89" s="1">
        <v>59.156199999999998</v>
      </c>
      <c r="M89">
        <v>5</v>
      </c>
    </row>
    <row r="90" spans="1:13" x14ac:dyDescent="0.3">
      <c r="A90" t="s">
        <v>35</v>
      </c>
      <c r="B90">
        <v>89</v>
      </c>
      <c r="C90" t="s">
        <v>134</v>
      </c>
      <c r="D90" t="s">
        <v>19</v>
      </c>
      <c r="E90">
        <v>2012</v>
      </c>
      <c r="F90" t="s">
        <v>13</v>
      </c>
      <c r="G90" t="s">
        <v>14</v>
      </c>
      <c r="H90" t="s">
        <v>15</v>
      </c>
      <c r="I90" t="s">
        <v>16</v>
      </c>
      <c r="J90">
        <v>9.8938169999999992E-3</v>
      </c>
      <c r="K90">
        <v>11.395</v>
      </c>
      <c r="L90" s="1">
        <v>50.303400000000003</v>
      </c>
      <c r="M90">
        <v>5</v>
      </c>
    </row>
    <row r="91" spans="1:13" x14ac:dyDescent="0.3">
      <c r="A91" t="s">
        <v>10</v>
      </c>
      <c r="B91">
        <v>90</v>
      </c>
      <c r="C91" t="s">
        <v>135</v>
      </c>
      <c r="D91" t="s">
        <v>95</v>
      </c>
      <c r="E91">
        <v>2012</v>
      </c>
      <c r="F91" t="s">
        <v>13</v>
      </c>
      <c r="G91" t="s">
        <v>14</v>
      </c>
      <c r="H91" t="s">
        <v>15</v>
      </c>
      <c r="I91" t="s">
        <v>16</v>
      </c>
      <c r="J91">
        <v>0.18614827</v>
      </c>
      <c r="K91">
        <v>12.35</v>
      </c>
      <c r="L91" s="1">
        <v>78.232799999999997</v>
      </c>
      <c r="M91">
        <v>5</v>
      </c>
    </row>
    <row r="92" spans="1:13" x14ac:dyDescent="0.3">
      <c r="A92" t="s">
        <v>10</v>
      </c>
      <c r="B92">
        <v>91</v>
      </c>
      <c r="C92" t="s">
        <v>136</v>
      </c>
      <c r="D92" t="s">
        <v>67</v>
      </c>
      <c r="E92">
        <v>2012</v>
      </c>
      <c r="F92" t="s">
        <v>13</v>
      </c>
      <c r="G92" t="s">
        <v>14</v>
      </c>
      <c r="H92" t="s">
        <v>15</v>
      </c>
      <c r="I92" t="s">
        <v>16</v>
      </c>
      <c r="J92">
        <v>0.114294512</v>
      </c>
      <c r="K92">
        <v>20.7</v>
      </c>
      <c r="L92" s="1">
        <v>94.943600000000004</v>
      </c>
      <c r="M92">
        <v>5</v>
      </c>
    </row>
    <row r="93" spans="1:13" x14ac:dyDescent="0.3">
      <c r="A93" t="s">
        <v>17</v>
      </c>
      <c r="B93">
        <v>92</v>
      </c>
      <c r="C93" t="s">
        <v>137</v>
      </c>
      <c r="D93" t="s">
        <v>64</v>
      </c>
      <c r="E93">
        <v>2018</v>
      </c>
      <c r="F93" t="s">
        <v>138</v>
      </c>
      <c r="G93" t="s">
        <v>14</v>
      </c>
      <c r="H93" t="s">
        <v>26</v>
      </c>
      <c r="I93" t="s">
        <v>40</v>
      </c>
      <c r="J93">
        <v>2.3402893000000001E-2</v>
      </c>
      <c r="K93"/>
      <c r="L93" s="1">
        <v>108.22799999999999</v>
      </c>
      <c r="M93">
        <v>5</v>
      </c>
    </row>
    <row r="94" spans="1:13" x14ac:dyDescent="0.3">
      <c r="A94" t="s">
        <v>17</v>
      </c>
      <c r="B94">
        <v>93</v>
      </c>
      <c r="C94" t="s">
        <v>139</v>
      </c>
      <c r="D94" t="s">
        <v>28</v>
      </c>
      <c r="E94">
        <v>2018</v>
      </c>
      <c r="F94" t="s">
        <v>138</v>
      </c>
      <c r="G94" t="s">
        <v>14</v>
      </c>
      <c r="H94" t="s">
        <v>26</v>
      </c>
      <c r="I94" t="s">
        <v>40</v>
      </c>
      <c r="J94">
        <v>0.196490902</v>
      </c>
      <c r="K94"/>
      <c r="L94" s="1">
        <v>120.544</v>
      </c>
      <c r="M94">
        <v>5</v>
      </c>
    </row>
    <row r="95" spans="1:13" x14ac:dyDescent="0.3">
      <c r="A95" t="s">
        <v>17</v>
      </c>
      <c r="B95">
        <v>94</v>
      </c>
      <c r="C95" t="s">
        <v>140</v>
      </c>
      <c r="D95" t="s">
        <v>67</v>
      </c>
      <c r="E95">
        <v>2018</v>
      </c>
      <c r="F95" t="s">
        <v>138</v>
      </c>
      <c r="G95" t="s">
        <v>14</v>
      </c>
      <c r="H95" t="s">
        <v>26</v>
      </c>
      <c r="I95" t="s">
        <v>40</v>
      </c>
      <c r="J95">
        <v>0.24749009</v>
      </c>
      <c r="K95"/>
      <c r="L95" s="1">
        <v>263.1884</v>
      </c>
      <c r="M95">
        <v>5</v>
      </c>
    </row>
    <row r="96" spans="1:13" x14ac:dyDescent="0.3">
      <c r="A96" t="s">
        <v>17</v>
      </c>
      <c r="B96">
        <v>95</v>
      </c>
      <c r="C96" t="s">
        <v>141</v>
      </c>
      <c r="D96" t="s">
        <v>12</v>
      </c>
      <c r="E96">
        <v>2018</v>
      </c>
      <c r="F96" t="s">
        <v>138</v>
      </c>
      <c r="G96" t="s">
        <v>14</v>
      </c>
      <c r="H96" t="s">
        <v>26</v>
      </c>
      <c r="I96" t="s">
        <v>40</v>
      </c>
      <c r="J96">
        <v>3.7824734999999998E-2</v>
      </c>
      <c r="K96"/>
      <c r="L96" s="1">
        <v>109.72280000000001</v>
      </c>
      <c r="M96">
        <v>5</v>
      </c>
    </row>
    <row r="97" spans="1:13" x14ac:dyDescent="0.3">
      <c r="A97" t="s">
        <v>17</v>
      </c>
      <c r="B97">
        <v>96</v>
      </c>
      <c r="C97" t="s">
        <v>142</v>
      </c>
      <c r="D97" t="s">
        <v>12</v>
      </c>
      <c r="E97">
        <v>2018</v>
      </c>
      <c r="F97" t="s">
        <v>138</v>
      </c>
      <c r="G97" t="s">
        <v>14</v>
      </c>
      <c r="H97" t="s">
        <v>26</v>
      </c>
      <c r="I97" t="s">
        <v>40</v>
      </c>
      <c r="J97">
        <v>0.14210799800000001</v>
      </c>
      <c r="K97"/>
      <c r="L97" s="1">
        <v>150.3734</v>
      </c>
      <c r="M97">
        <v>5</v>
      </c>
    </row>
    <row r="98" spans="1:13" x14ac:dyDescent="0.3">
      <c r="A98" t="s">
        <v>17</v>
      </c>
      <c r="B98">
        <v>97</v>
      </c>
      <c r="C98" t="s">
        <v>143</v>
      </c>
      <c r="D98" t="s">
        <v>12</v>
      </c>
      <c r="E98">
        <v>2018</v>
      </c>
      <c r="F98" t="s">
        <v>138</v>
      </c>
      <c r="G98" t="s">
        <v>14</v>
      </c>
      <c r="H98" t="s">
        <v>26</v>
      </c>
      <c r="I98" t="s">
        <v>40</v>
      </c>
      <c r="J98">
        <v>4.5062129999999999E-2</v>
      </c>
      <c r="K98"/>
      <c r="L98" s="1">
        <v>167.54740000000001</v>
      </c>
      <c r="M98">
        <v>5</v>
      </c>
    </row>
    <row r="99" spans="1:13" x14ac:dyDescent="0.3">
      <c r="A99" t="s">
        <v>17</v>
      </c>
      <c r="B99">
        <v>98</v>
      </c>
      <c r="C99" t="s">
        <v>144</v>
      </c>
      <c r="D99" t="s">
        <v>19</v>
      </c>
      <c r="E99">
        <v>2018</v>
      </c>
      <c r="F99" t="s">
        <v>138</v>
      </c>
      <c r="G99" t="s">
        <v>14</v>
      </c>
      <c r="H99" t="s">
        <v>26</v>
      </c>
      <c r="I99" t="s">
        <v>40</v>
      </c>
      <c r="J99">
        <v>4.4000492000000002E-2</v>
      </c>
      <c r="K99"/>
      <c r="L99" s="1">
        <v>148.27340000000001</v>
      </c>
      <c r="M99">
        <v>5</v>
      </c>
    </row>
    <row r="100" spans="1:13" x14ac:dyDescent="0.3">
      <c r="A100" t="s">
        <v>17</v>
      </c>
      <c r="B100">
        <v>99</v>
      </c>
      <c r="C100" t="s">
        <v>145</v>
      </c>
      <c r="D100" t="s">
        <v>19</v>
      </c>
      <c r="E100">
        <v>2018</v>
      </c>
      <c r="F100" t="s">
        <v>138</v>
      </c>
      <c r="G100" t="s">
        <v>14</v>
      </c>
      <c r="H100" t="s">
        <v>26</v>
      </c>
      <c r="I100" t="s">
        <v>40</v>
      </c>
      <c r="J100">
        <v>0</v>
      </c>
      <c r="K100"/>
      <c r="L100" s="1">
        <v>123.473</v>
      </c>
      <c r="M100">
        <v>5</v>
      </c>
    </row>
    <row r="101" spans="1:13" x14ac:dyDescent="0.3">
      <c r="A101" t="s">
        <v>17</v>
      </c>
      <c r="B101">
        <v>100</v>
      </c>
      <c r="C101" t="s">
        <v>146</v>
      </c>
      <c r="D101" t="s">
        <v>19</v>
      </c>
      <c r="E101">
        <v>2018</v>
      </c>
      <c r="F101" t="s">
        <v>138</v>
      </c>
      <c r="G101" t="s">
        <v>14</v>
      </c>
      <c r="H101" t="s">
        <v>26</v>
      </c>
      <c r="I101" t="s">
        <v>40</v>
      </c>
      <c r="J101">
        <v>4.4607722000000002E-2</v>
      </c>
      <c r="K101"/>
      <c r="L101" s="1">
        <v>145.976</v>
      </c>
      <c r="M101">
        <v>5</v>
      </c>
    </row>
    <row r="102" spans="1:13" x14ac:dyDescent="0.3">
      <c r="A102" t="s">
        <v>17</v>
      </c>
      <c r="B102">
        <v>101</v>
      </c>
      <c r="C102" t="s">
        <v>147</v>
      </c>
      <c r="D102" t="s">
        <v>19</v>
      </c>
      <c r="E102">
        <v>2018</v>
      </c>
      <c r="F102" t="s">
        <v>138</v>
      </c>
      <c r="G102" t="s">
        <v>14</v>
      </c>
      <c r="H102" t="s">
        <v>26</v>
      </c>
      <c r="I102" t="s">
        <v>40</v>
      </c>
      <c r="J102">
        <v>3.1024168000000001E-2</v>
      </c>
      <c r="K102"/>
      <c r="L102" s="1">
        <v>210.52440000000001</v>
      </c>
      <c r="M102">
        <v>5</v>
      </c>
    </row>
    <row r="103" spans="1:13" x14ac:dyDescent="0.3">
      <c r="A103" t="s">
        <v>17</v>
      </c>
      <c r="B103">
        <v>102</v>
      </c>
      <c r="C103" t="s">
        <v>148</v>
      </c>
      <c r="D103" t="s">
        <v>42</v>
      </c>
      <c r="E103">
        <v>2018</v>
      </c>
      <c r="F103" t="s">
        <v>138</v>
      </c>
      <c r="G103" t="s">
        <v>14</v>
      </c>
      <c r="H103" t="s">
        <v>26</v>
      </c>
      <c r="I103" t="s">
        <v>40</v>
      </c>
      <c r="J103">
        <v>9.1924310999999995E-2</v>
      </c>
      <c r="K103"/>
      <c r="L103" s="1">
        <v>189.75299999999999</v>
      </c>
      <c r="M103">
        <v>5</v>
      </c>
    </row>
    <row r="104" spans="1:13" x14ac:dyDescent="0.3">
      <c r="A104" t="s">
        <v>17</v>
      </c>
      <c r="B104">
        <v>103</v>
      </c>
      <c r="C104" t="s">
        <v>149</v>
      </c>
      <c r="D104" t="s">
        <v>42</v>
      </c>
      <c r="E104">
        <v>2018</v>
      </c>
      <c r="F104" t="s">
        <v>138</v>
      </c>
      <c r="G104" t="s">
        <v>14</v>
      </c>
      <c r="H104" t="s">
        <v>26</v>
      </c>
      <c r="I104" t="s">
        <v>40</v>
      </c>
      <c r="J104">
        <v>0.10318849099999999</v>
      </c>
      <c r="K104"/>
      <c r="L104" s="1">
        <v>244.346</v>
      </c>
      <c r="M104">
        <v>5</v>
      </c>
    </row>
    <row r="105" spans="1:13" x14ac:dyDescent="0.3">
      <c r="A105" t="s">
        <v>17</v>
      </c>
      <c r="B105">
        <v>104</v>
      </c>
      <c r="C105" t="s">
        <v>52</v>
      </c>
      <c r="D105" t="s">
        <v>42</v>
      </c>
      <c r="E105">
        <v>2018</v>
      </c>
      <c r="F105" t="s">
        <v>138</v>
      </c>
      <c r="G105" t="s">
        <v>14</v>
      </c>
      <c r="H105" t="s">
        <v>26</v>
      </c>
      <c r="I105" t="s">
        <v>40</v>
      </c>
      <c r="J105">
        <v>0.158562708</v>
      </c>
      <c r="K105"/>
      <c r="L105" s="1">
        <v>194.71100000000001</v>
      </c>
      <c r="M105">
        <v>5</v>
      </c>
    </row>
    <row r="106" spans="1:13" x14ac:dyDescent="0.3">
      <c r="A106" t="s">
        <v>17</v>
      </c>
      <c r="B106">
        <v>105</v>
      </c>
      <c r="C106" t="s">
        <v>150</v>
      </c>
      <c r="D106" t="s">
        <v>42</v>
      </c>
      <c r="E106">
        <v>2018</v>
      </c>
      <c r="F106" t="s">
        <v>138</v>
      </c>
      <c r="G106" t="s">
        <v>14</v>
      </c>
      <c r="H106" t="s">
        <v>26</v>
      </c>
      <c r="I106" t="s">
        <v>40</v>
      </c>
      <c r="J106">
        <v>6.7824456000000005E-2</v>
      </c>
      <c r="K106"/>
      <c r="L106" s="1">
        <v>167.7842</v>
      </c>
      <c r="M106">
        <v>5</v>
      </c>
    </row>
    <row r="107" spans="1:13" x14ac:dyDescent="0.3">
      <c r="A107" t="s">
        <v>17</v>
      </c>
      <c r="B107">
        <v>106</v>
      </c>
      <c r="C107" t="s">
        <v>151</v>
      </c>
      <c r="D107" t="s">
        <v>54</v>
      </c>
      <c r="E107">
        <v>2018</v>
      </c>
      <c r="F107" t="s">
        <v>138</v>
      </c>
      <c r="G107" t="s">
        <v>14</v>
      </c>
      <c r="H107" t="s">
        <v>26</v>
      </c>
      <c r="I107" t="s">
        <v>40</v>
      </c>
      <c r="J107">
        <v>2.9299175E-2</v>
      </c>
      <c r="K107"/>
      <c r="L107" s="1">
        <v>140.31800000000001</v>
      </c>
      <c r="M107">
        <v>5</v>
      </c>
    </row>
    <row r="108" spans="1:13" x14ac:dyDescent="0.3">
      <c r="A108" t="s">
        <v>17</v>
      </c>
      <c r="B108">
        <v>107</v>
      </c>
      <c r="C108" t="s">
        <v>152</v>
      </c>
      <c r="D108" t="s">
        <v>153</v>
      </c>
      <c r="E108">
        <v>2018</v>
      </c>
      <c r="F108" t="s">
        <v>138</v>
      </c>
      <c r="G108" t="s">
        <v>14</v>
      </c>
      <c r="H108" t="s">
        <v>26</v>
      </c>
      <c r="I108" t="s">
        <v>40</v>
      </c>
      <c r="J108">
        <v>0.12853255799999999</v>
      </c>
      <c r="K108"/>
      <c r="L108" s="1">
        <v>34.221600000000002</v>
      </c>
      <c r="M108">
        <v>5</v>
      </c>
    </row>
    <row r="109" spans="1:13" x14ac:dyDescent="0.3">
      <c r="A109" t="s">
        <v>10</v>
      </c>
      <c r="B109">
        <v>108</v>
      </c>
      <c r="C109" t="s">
        <v>154</v>
      </c>
      <c r="D109" t="s">
        <v>74</v>
      </c>
      <c r="E109">
        <v>2018</v>
      </c>
      <c r="F109" t="s">
        <v>138</v>
      </c>
      <c r="G109" t="s">
        <v>14</v>
      </c>
      <c r="H109" t="s">
        <v>26</v>
      </c>
      <c r="I109" t="s">
        <v>40</v>
      </c>
      <c r="J109">
        <v>9.8606543000000005E-2</v>
      </c>
      <c r="K109"/>
      <c r="L109" s="1">
        <v>232.73</v>
      </c>
      <c r="M109">
        <v>5</v>
      </c>
    </row>
    <row r="110" spans="1:13" x14ac:dyDescent="0.3">
      <c r="A110" t="s">
        <v>10</v>
      </c>
      <c r="B110">
        <v>109</v>
      </c>
      <c r="C110" t="s">
        <v>155</v>
      </c>
      <c r="D110" t="s">
        <v>28</v>
      </c>
      <c r="E110">
        <v>2018</v>
      </c>
      <c r="F110" t="s">
        <v>138</v>
      </c>
      <c r="G110" t="s">
        <v>14</v>
      </c>
      <c r="H110" t="s">
        <v>26</v>
      </c>
      <c r="I110" t="s">
        <v>40</v>
      </c>
      <c r="J110">
        <v>0.18223655499999999</v>
      </c>
      <c r="K110"/>
      <c r="L110" s="1">
        <v>107.1622</v>
      </c>
      <c r="M110">
        <v>5</v>
      </c>
    </row>
    <row r="111" spans="1:13" x14ac:dyDescent="0.3">
      <c r="A111" t="s">
        <v>10</v>
      </c>
      <c r="B111">
        <v>110</v>
      </c>
      <c r="C111" t="s">
        <v>156</v>
      </c>
      <c r="D111" t="s">
        <v>12</v>
      </c>
      <c r="E111">
        <v>2018</v>
      </c>
      <c r="F111" t="s">
        <v>138</v>
      </c>
      <c r="G111" t="s">
        <v>14</v>
      </c>
      <c r="H111" t="s">
        <v>26</v>
      </c>
      <c r="I111" t="s">
        <v>40</v>
      </c>
      <c r="J111">
        <v>0.20916293599999999</v>
      </c>
      <c r="K111"/>
      <c r="L111" s="1">
        <v>179.19759999999999</v>
      </c>
      <c r="M111">
        <v>5</v>
      </c>
    </row>
    <row r="112" spans="1:13" x14ac:dyDescent="0.3">
      <c r="A112" t="s">
        <v>10</v>
      </c>
      <c r="B112">
        <v>111</v>
      </c>
      <c r="C112" t="s">
        <v>157</v>
      </c>
      <c r="D112" t="s">
        <v>54</v>
      </c>
      <c r="E112">
        <v>2018</v>
      </c>
      <c r="F112" t="s">
        <v>138</v>
      </c>
      <c r="G112" t="s">
        <v>14</v>
      </c>
      <c r="H112" t="s">
        <v>26</v>
      </c>
      <c r="I112" t="s">
        <v>40</v>
      </c>
      <c r="J112">
        <v>7.7480626999999996E-2</v>
      </c>
      <c r="K112"/>
      <c r="L112" s="1">
        <v>101.399</v>
      </c>
      <c r="M112">
        <v>5</v>
      </c>
    </row>
    <row r="113" spans="1:13" x14ac:dyDescent="0.3">
      <c r="A113" t="s">
        <v>10</v>
      </c>
      <c r="B113">
        <v>112</v>
      </c>
      <c r="C113" t="s">
        <v>158</v>
      </c>
      <c r="D113" t="s">
        <v>159</v>
      </c>
      <c r="E113">
        <v>2018</v>
      </c>
      <c r="F113" t="s">
        <v>138</v>
      </c>
      <c r="G113" t="s">
        <v>14</v>
      </c>
      <c r="H113" t="s">
        <v>26</v>
      </c>
      <c r="I113" t="s">
        <v>40</v>
      </c>
      <c r="J113">
        <v>1.2327846999999999E-2</v>
      </c>
      <c r="K113"/>
      <c r="L113" s="1">
        <v>173.87379999999999</v>
      </c>
      <c r="M113">
        <v>5</v>
      </c>
    </row>
    <row r="114" spans="1:13" x14ac:dyDescent="0.3">
      <c r="A114" t="s">
        <v>10</v>
      </c>
      <c r="B114">
        <v>113</v>
      </c>
      <c r="C114" t="s">
        <v>160</v>
      </c>
      <c r="D114" t="s">
        <v>28</v>
      </c>
      <c r="E114">
        <v>2018</v>
      </c>
      <c r="F114" t="s">
        <v>138</v>
      </c>
      <c r="G114" t="s">
        <v>14</v>
      </c>
      <c r="H114" t="s">
        <v>26</v>
      </c>
      <c r="I114" t="s">
        <v>40</v>
      </c>
      <c r="J114">
        <v>1.4342659000000001E-2</v>
      </c>
      <c r="K114"/>
      <c r="L114" s="1">
        <v>103.76739999999999</v>
      </c>
      <c r="M114">
        <v>5</v>
      </c>
    </row>
    <row r="115" spans="1:13" x14ac:dyDescent="0.3">
      <c r="A115" t="s">
        <v>10</v>
      </c>
      <c r="B115">
        <v>114</v>
      </c>
      <c r="C115" t="s">
        <v>161</v>
      </c>
      <c r="D115" t="s">
        <v>24</v>
      </c>
      <c r="E115">
        <v>2018</v>
      </c>
      <c r="F115" t="s">
        <v>138</v>
      </c>
      <c r="G115" t="s">
        <v>14</v>
      </c>
      <c r="H115" t="s">
        <v>26</v>
      </c>
      <c r="I115" t="s">
        <v>40</v>
      </c>
      <c r="J115">
        <v>0</v>
      </c>
      <c r="K115"/>
      <c r="L115" s="1">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s="1">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s="1">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s="1">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s="1">
        <v>208.8638</v>
      </c>
      <c r="M119">
        <v>5</v>
      </c>
    </row>
    <row r="120" spans="1:13" x14ac:dyDescent="0.3">
      <c r="A120" t="s">
        <v>17</v>
      </c>
      <c r="B120">
        <v>119</v>
      </c>
      <c r="C120" t="s">
        <v>98</v>
      </c>
      <c r="D120" t="s">
        <v>67</v>
      </c>
      <c r="E120">
        <v>2016</v>
      </c>
      <c r="F120" t="s">
        <v>25</v>
      </c>
      <c r="G120" t="s">
        <v>14</v>
      </c>
      <c r="H120" t="s">
        <v>26</v>
      </c>
      <c r="I120" t="s">
        <v>16</v>
      </c>
      <c r="J120">
        <v>2.8417272E-2</v>
      </c>
      <c r="K120">
        <v>8.93</v>
      </c>
      <c r="L120" s="1">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s="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s="1">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s="1">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s="1">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s="1">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s="1">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s="1">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s="1">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s="1">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s="1">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s="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s="1">
        <v>165.7842</v>
      </c>
      <c r="M132">
        <v>5</v>
      </c>
    </row>
    <row r="133" spans="1:13" x14ac:dyDescent="0.3">
      <c r="A133" t="s">
        <v>17</v>
      </c>
      <c r="B133">
        <v>132</v>
      </c>
      <c r="C133" t="s">
        <v>177</v>
      </c>
      <c r="D133" t="s">
        <v>48</v>
      </c>
      <c r="E133">
        <v>2016</v>
      </c>
      <c r="F133" t="s">
        <v>25</v>
      </c>
      <c r="G133" t="s">
        <v>14</v>
      </c>
      <c r="H133" t="s">
        <v>26</v>
      </c>
      <c r="I133" t="s">
        <v>16</v>
      </c>
      <c r="J133">
        <v>0.116542484</v>
      </c>
      <c r="K133">
        <v>17.7</v>
      </c>
      <c r="L133" s="1">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s="1">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s="1">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s="1">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s="1">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s="1">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s="1">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s="1">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s="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s="1">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s="1">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s="1">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s="1">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s="1">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s="1">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s="1">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s="1">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s="1">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s="1">
        <v>37.187399999999997</v>
      </c>
      <c r="M151">
        <v>5</v>
      </c>
    </row>
    <row r="152" spans="1:13" x14ac:dyDescent="0.3">
      <c r="A152" t="s">
        <v>17</v>
      </c>
      <c r="B152">
        <v>151</v>
      </c>
      <c r="C152" t="s">
        <v>66</v>
      </c>
      <c r="D152" t="s">
        <v>67</v>
      </c>
      <c r="E152">
        <v>2015</v>
      </c>
      <c r="F152" t="s">
        <v>33</v>
      </c>
      <c r="G152" t="s">
        <v>34</v>
      </c>
      <c r="H152" t="s">
        <v>15</v>
      </c>
      <c r="I152" t="s">
        <v>16</v>
      </c>
      <c r="J152">
        <v>0</v>
      </c>
      <c r="K152">
        <v>17.25</v>
      </c>
      <c r="L152" s="1">
        <v>171.57640000000001</v>
      </c>
      <c r="M152">
        <v>5</v>
      </c>
    </row>
    <row r="153" spans="1:13" x14ac:dyDescent="0.3">
      <c r="A153" t="s">
        <v>17</v>
      </c>
      <c r="B153">
        <v>152</v>
      </c>
      <c r="C153" t="s">
        <v>196</v>
      </c>
      <c r="D153" t="s">
        <v>19</v>
      </c>
      <c r="E153">
        <v>2020</v>
      </c>
      <c r="F153" t="s">
        <v>37</v>
      </c>
      <c r="G153" t="s">
        <v>34</v>
      </c>
      <c r="H153" t="s">
        <v>15</v>
      </c>
      <c r="I153" t="s">
        <v>16</v>
      </c>
      <c r="J153">
        <v>0</v>
      </c>
      <c r="K153">
        <v>12.15</v>
      </c>
      <c r="L153" s="1">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s="1">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s="1">
        <v>124.6388</v>
      </c>
      <c r="M155">
        <v>5</v>
      </c>
    </row>
    <row r="156" spans="1:13" x14ac:dyDescent="0.3">
      <c r="A156" t="s">
        <v>17</v>
      </c>
      <c r="B156">
        <v>155</v>
      </c>
      <c r="C156" t="s">
        <v>199</v>
      </c>
      <c r="D156" t="s">
        <v>95</v>
      </c>
      <c r="E156">
        <v>2015</v>
      </c>
      <c r="F156" t="s">
        <v>33</v>
      </c>
      <c r="G156" t="s">
        <v>34</v>
      </c>
      <c r="H156" t="s">
        <v>15</v>
      </c>
      <c r="I156" t="s">
        <v>16</v>
      </c>
      <c r="J156">
        <v>0.11349714</v>
      </c>
      <c r="K156">
        <v>14.1</v>
      </c>
      <c r="L156" s="1">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s="1">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s="1">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s="1">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s="1">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s="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s="1">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s="1">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s="1">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s="1">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s="1">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s="1">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s="1">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s="1">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s="1">
        <v>116.4492</v>
      </c>
      <c r="M170">
        <v>5</v>
      </c>
    </row>
    <row r="171" spans="1:13" x14ac:dyDescent="0.3">
      <c r="A171" t="s">
        <v>17</v>
      </c>
      <c r="B171">
        <v>170</v>
      </c>
      <c r="C171" t="s">
        <v>212</v>
      </c>
      <c r="D171" t="s">
        <v>19</v>
      </c>
      <c r="E171">
        <v>2015</v>
      </c>
      <c r="F171" t="s">
        <v>33</v>
      </c>
      <c r="G171" t="s">
        <v>34</v>
      </c>
      <c r="H171" t="s">
        <v>26</v>
      </c>
      <c r="I171" t="s">
        <v>16</v>
      </c>
      <c r="J171">
        <v>4.1950753E-2</v>
      </c>
      <c r="K171">
        <v>10.8</v>
      </c>
      <c r="L171" s="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s="1">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s="1">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s="1">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s="1">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s="1">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s="1">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s="1">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s="1">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s="1">
        <v>142.64959999999999</v>
      </c>
      <c r="M180">
        <v>5</v>
      </c>
    </row>
    <row r="181" spans="1:13" x14ac:dyDescent="0.3">
      <c r="A181" t="s">
        <v>17</v>
      </c>
      <c r="B181">
        <v>180</v>
      </c>
      <c r="C181" t="s">
        <v>221</v>
      </c>
      <c r="D181" t="s">
        <v>32</v>
      </c>
      <c r="E181">
        <v>2015</v>
      </c>
      <c r="F181" t="s">
        <v>33</v>
      </c>
      <c r="G181" t="s">
        <v>34</v>
      </c>
      <c r="H181" t="s">
        <v>26</v>
      </c>
      <c r="I181" t="s">
        <v>16</v>
      </c>
      <c r="J181">
        <v>0</v>
      </c>
      <c r="K181">
        <v>5</v>
      </c>
      <c r="L181" s="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s="1">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s="1">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s="1">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s="1">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s="1">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s="1">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s="1">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s="1">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s="1">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s="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s="1">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s="1">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s="1">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s="1">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s="1">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s="1">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s="1">
        <v>163.05260000000001</v>
      </c>
      <c r="M198">
        <v>5</v>
      </c>
    </row>
    <row r="199" spans="1:13" x14ac:dyDescent="0.3">
      <c r="A199" t="s">
        <v>17</v>
      </c>
      <c r="B199">
        <v>198</v>
      </c>
      <c r="C199" t="s">
        <v>238</v>
      </c>
      <c r="D199" t="s">
        <v>19</v>
      </c>
      <c r="E199">
        <v>2020</v>
      </c>
      <c r="F199" t="s">
        <v>37</v>
      </c>
      <c r="G199" t="s">
        <v>34</v>
      </c>
      <c r="H199" t="s">
        <v>26</v>
      </c>
      <c r="I199" t="s">
        <v>16</v>
      </c>
      <c r="J199">
        <v>0</v>
      </c>
      <c r="K199">
        <v>11.395</v>
      </c>
      <c r="L199" s="1">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s="1">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s="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s="1">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s="1">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s="1">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s="1">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s="1">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s="1">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s="1">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s="1">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s="1">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s="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s="1">
        <v>187.624</v>
      </c>
      <c r="M212">
        <v>5</v>
      </c>
    </row>
    <row r="213" spans="1:13" x14ac:dyDescent="0.3">
      <c r="A213" t="s">
        <v>10</v>
      </c>
      <c r="B213">
        <v>212</v>
      </c>
      <c r="C213" t="s">
        <v>250</v>
      </c>
      <c r="D213" t="s">
        <v>28</v>
      </c>
      <c r="E213">
        <v>2015</v>
      </c>
      <c r="F213" t="s">
        <v>33</v>
      </c>
      <c r="G213" t="s">
        <v>34</v>
      </c>
      <c r="H213" t="s">
        <v>30</v>
      </c>
      <c r="I213" t="s">
        <v>16</v>
      </c>
      <c r="J213">
        <v>3.0905215E-2</v>
      </c>
      <c r="K213">
        <v>8.42</v>
      </c>
      <c r="L213" s="1">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s="1">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s="1">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s="1">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s="1">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s="1">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s="1">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s="1">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s="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s="1">
        <v>122.1388</v>
      </c>
      <c r="M222">
        <v>5</v>
      </c>
    </row>
    <row r="223" spans="1:13" x14ac:dyDescent="0.3">
      <c r="A223" t="s">
        <v>10</v>
      </c>
      <c r="B223">
        <v>222</v>
      </c>
      <c r="C223" t="s">
        <v>259</v>
      </c>
      <c r="D223" t="s">
        <v>48</v>
      </c>
      <c r="E223">
        <v>2015</v>
      </c>
      <c r="F223" t="s">
        <v>33</v>
      </c>
      <c r="G223" t="s">
        <v>34</v>
      </c>
      <c r="H223" t="s">
        <v>30</v>
      </c>
      <c r="I223" t="s">
        <v>16</v>
      </c>
      <c r="J223">
        <v>0</v>
      </c>
      <c r="K223">
        <v>6.61</v>
      </c>
      <c r="L223" s="1">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s="1">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s="1">
        <v>167.1842</v>
      </c>
      <c r="M225">
        <v>5</v>
      </c>
    </row>
    <row r="226" spans="1:13" x14ac:dyDescent="0.3">
      <c r="A226" t="s">
        <v>10</v>
      </c>
      <c r="B226">
        <v>225</v>
      </c>
      <c r="C226" t="s">
        <v>262</v>
      </c>
      <c r="D226" t="s">
        <v>48</v>
      </c>
      <c r="E226">
        <v>2015</v>
      </c>
      <c r="F226" t="s">
        <v>33</v>
      </c>
      <c r="G226" t="s">
        <v>34</v>
      </c>
      <c r="H226" t="s">
        <v>30</v>
      </c>
      <c r="I226" t="s">
        <v>16</v>
      </c>
      <c r="J226">
        <v>0.125528734</v>
      </c>
      <c r="K226">
        <v>13.5</v>
      </c>
      <c r="L226" s="1">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s="1">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s="1">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s="1">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s="1">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s="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s="1">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s="1">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s="1">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s="1">
        <v>141.5838</v>
      </c>
      <c r="M235">
        <v>5</v>
      </c>
    </row>
    <row r="236" spans="1:13" x14ac:dyDescent="0.3">
      <c r="A236" t="s">
        <v>10</v>
      </c>
      <c r="B236">
        <v>235</v>
      </c>
      <c r="C236" t="s">
        <v>270</v>
      </c>
      <c r="D236" t="s">
        <v>24</v>
      </c>
      <c r="E236">
        <v>2020</v>
      </c>
      <c r="F236" t="s">
        <v>37</v>
      </c>
      <c r="G236" t="s">
        <v>34</v>
      </c>
      <c r="H236" t="s">
        <v>30</v>
      </c>
      <c r="I236" t="s">
        <v>16</v>
      </c>
      <c r="J236">
        <v>0</v>
      </c>
      <c r="K236">
        <v>16.100000000000001</v>
      </c>
      <c r="L236" s="1">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s="1">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s="1">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s="1">
        <v>197.24260000000001</v>
      </c>
      <c r="M239">
        <v>5</v>
      </c>
    </row>
    <row r="240" spans="1:13" x14ac:dyDescent="0.3">
      <c r="A240" t="s">
        <v>10</v>
      </c>
      <c r="B240">
        <v>239</v>
      </c>
      <c r="C240" t="s">
        <v>130</v>
      </c>
      <c r="D240" t="s">
        <v>54</v>
      </c>
      <c r="E240">
        <v>2020</v>
      </c>
      <c r="F240" t="s">
        <v>37</v>
      </c>
      <c r="G240" t="s">
        <v>34</v>
      </c>
      <c r="H240" t="s">
        <v>15</v>
      </c>
      <c r="I240" t="s">
        <v>16</v>
      </c>
      <c r="J240">
        <v>0</v>
      </c>
      <c r="K240">
        <v>13.65</v>
      </c>
      <c r="L240" s="1">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s="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s="1">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s="1">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s="1">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s="1">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s="1">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s="1">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s="1">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s="1">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s="1">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s="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s="1">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s="1">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s="1">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s="1">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s="1">
        <v>121.0098</v>
      </c>
      <c r="M256">
        <v>5</v>
      </c>
    </row>
    <row r="257" spans="1:13" x14ac:dyDescent="0.3">
      <c r="A257" t="s">
        <v>17</v>
      </c>
      <c r="B257">
        <v>256</v>
      </c>
      <c r="C257" t="s">
        <v>164</v>
      </c>
      <c r="D257" t="s">
        <v>28</v>
      </c>
      <c r="E257">
        <v>2017</v>
      </c>
      <c r="F257" t="s">
        <v>50</v>
      </c>
      <c r="G257" t="s">
        <v>34</v>
      </c>
      <c r="H257" t="s">
        <v>26</v>
      </c>
      <c r="I257" t="s">
        <v>16</v>
      </c>
      <c r="J257">
        <v>0.15137695800000001</v>
      </c>
      <c r="K257">
        <v>7</v>
      </c>
      <c r="L257" s="1">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s="1">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s="1">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s="1">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s="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s="1">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s="1">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s="1">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s="1">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s="1">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s="1">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s="1">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s="1">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s="1">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s="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s="1">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s="1">
        <v>108.19119999999999</v>
      </c>
      <c r="M273">
        <v>5</v>
      </c>
    </row>
    <row r="274" spans="1:13" x14ac:dyDescent="0.3">
      <c r="A274" t="s">
        <v>17</v>
      </c>
      <c r="B274">
        <v>273</v>
      </c>
      <c r="C274" t="s">
        <v>302</v>
      </c>
      <c r="D274" t="s">
        <v>42</v>
      </c>
      <c r="E274">
        <v>2017</v>
      </c>
      <c r="F274" t="s">
        <v>50</v>
      </c>
      <c r="G274" t="s">
        <v>34</v>
      </c>
      <c r="H274" t="s">
        <v>26</v>
      </c>
      <c r="I274" t="s">
        <v>16</v>
      </c>
      <c r="J274">
        <v>0</v>
      </c>
      <c r="K274">
        <v>18.75</v>
      </c>
      <c r="L274" s="1">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s="1">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s="1">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s="1">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s="1">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s="1">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s="1">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s="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s="1">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s="1">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s="1">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s="1">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s="1">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s="1">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s="1">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s="1">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s="1">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s="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s="1">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s="1">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s="1">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s="1">
        <v>173.2764</v>
      </c>
      <c r="M295">
        <v>5</v>
      </c>
    </row>
    <row r="296" spans="1:13" x14ac:dyDescent="0.3">
      <c r="A296" t="s">
        <v>17</v>
      </c>
      <c r="B296">
        <v>295</v>
      </c>
      <c r="C296" t="s">
        <v>320</v>
      </c>
      <c r="D296" t="s">
        <v>95</v>
      </c>
      <c r="E296">
        <v>2011</v>
      </c>
      <c r="F296" t="s">
        <v>39</v>
      </c>
      <c r="G296" t="s">
        <v>21</v>
      </c>
      <c r="H296" t="s">
        <v>15</v>
      </c>
      <c r="I296" t="s">
        <v>40</v>
      </c>
      <c r="J296">
        <v>0.220111117</v>
      </c>
      <c r="K296">
        <v>11.65</v>
      </c>
      <c r="L296" s="1">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s="1">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s="1">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s="1">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s="1">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s="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s="1">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s="1">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s="1">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s="1">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s="1">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s="1">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s="1">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s="1">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s="1">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s="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s="1">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s="1">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s="1">
        <v>102.7332</v>
      </c>
      <c r="M314">
        <v>5</v>
      </c>
    </row>
    <row r="315" spans="1:13" x14ac:dyDescent="0.3">
      <c r="A315" t="s">
        <v>10</v>
      </c>
      <c r="B315">
        <v>314</v>
      </c>
      <c r="C315" t="s">
        <v>337</v>
      </c>
      <c r="D315" t="s">
        <v>57</v>
      </c>
      <c r="E315">
        <v>2011</v>
      </c>
      <c r="F315" t="s">
        <v>39</v>
      </c>
      <c r="G315" t="s">
        <v>21</v>
      </c>
      <c r="H315" t="s">
        <v>30</v>
      </c>
      <c r="I315" t="s">
        <v>40</v>
      </c>
      <c r="J315">
        <v>0.190569038</v>
      </c>
      <c r="K315">
        <v>12.8</v>
      </c>
      <c r="L315" s="1">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s="1">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s="1">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s="1">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s="1">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s="1">
        <v>36.7164</v>
      </c>
      <c r="M320">
        <v>5</v>
      </c>
    </row>
    <row r="321" spans="1:13" x14ac:dyDescent="0.3">
      <c r="A321" t="s">
        <v>17</v>
      </c>
      <c r="B321">
        <v>320</v>
      </c>
      <c r="C321" t="s">
        <v>343</v>
      </c>
      <c r="D321" t="s">
        <v>57</v>
      </c>
      <c r="E321">
        <v>2014</v>
      </c>
      <c r="F321" t="s">
        <v>29</v>
      </c>
      <c r="G321" t="s">
        <v>21</v>
      </c>
      <c r="H321" t="s">
        <v>30</v>
      </c>
      <c r="I321" t="s">
        <v>16</v>
      </c>
      <c r="J321">
        <v>2.0698674E-2</v>
      </c>
      <c r="K321">
        <v>13.15</v>
      </c>
      <c r="L321" s="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s="1">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s="1">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s="1">
        <v>213.7192</v>
      </c>
      <c r="M324">
        <v>5</v>
      </c>
    </row>
    <row r="325" spans="1:13" x14ac:dyDescent="0.3">
      <c r="A325" t="s">
        <v>17</v>
      </c>
      <c r="B325">
        <v>324</v>
      </c>
      <c r="C325" t="s">
        <v>346</v>
      </c>
      <c r="D325" t="s">
        <v>24</v>
      </c>
      <c r="E325">
        <v>2014</v>
      </c>
      <c r="F325" t="s">
        <v>29</v>
      </c>
      <c r="G325" t="s">
        <v>21</v>
      </c>
      <c r="H325" t="s">
        <v>30</v>
      </c>
      <c r="I325" t="s">
        <v>16</v>
      </c>
      <c r="J325">
        <v>0.124348482</v>
      </c>
      <c r="K325">
        <v>18</v>
      </c>
      <c r="L325" s="1">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s="1">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s="1">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s="1">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s="1">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s="1">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s="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s="1">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s="1">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s="1">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s="1">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s="1">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s="1">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s="1">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s="1">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s="1">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s="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s="1">
        <v>180.33179999999999</v>
      </c>
      <c r="M342">
        <v>5</v>
      </c>
    </row>
    <row r="343" spans="1:13" x14ac:dyDescent="0.3">
      <c r="A343" t="s">
        <v>10</v>
      </c>
      <c r="B343">
        <v>342</v>
      </c>
      <c r="C343" t="s">
        <v>360</v>
      </c>
      <c r="D343" t="s">
        <v>12</v>
      </c>
      <c r="E343">
        <v>2014</v>
      </c>
      <c r="F343" t="s">
        <v>29</v>
      </c>
      <c r="G343" t="s">
        <v>21</v>
      </c>
      <c r="H343" t="s">
        <v>30</v>
      </c>
      <c r="I343" t="s">
        <v>16</v>
      </c>
      <c r="J343">
        <v>0</v>
      </c>
      <c r="K343">
        <v>10.3</v>
      </c>
      <c r="L343" s="1">
        <v>115.0176</v>
      </c>
      <c r="M343">
        <v>5</v>
      </c>
    </row>
    <row r="344" spans="1:13" x14ac:dyDescent="0.3">
      <c r="A344" t="s">
        <v>10</v>
      </c>
      <c r="B344">
        <v>343</v>
      </c>
      <c r="C344" t="s">
        <v>361</v>
      </c>
      <c r="D344" t="s">
        <v>12</v>
      </c>
      <c r="E344">
        <v>2014</v>
      </c>
      <c r="F344" t="s">
        <v>29</v>
      </c>
      <c r="G344" t="s">
        <v>21</v>
      </c>
      <c r="H344" t="s">
        <v>30</v>
      </c>
      <c r="I344" t="s">
        <v>16</v>
      </c>
      <c r="J344">
        <v>0.152001201</v>
      </c>
      <c r="K344">
        <v>12.85</v>
      </c>
      <c r="L344" s="1">
        <v>252.3382</v>
      </c>
      <c r="M344">
        <v>5</v>
      </c>
    </row>
    <row r="345" spans="1:13" x14ac:dyDescent="0.3">
      <c r="A345" t="s">
        <v>10</v>
      </c>
      <c r="B345">
        <v>344</v>
      </c>
      <c r="C345" t="s">
        <v>362</v>
      </c>
      <c r="D345" t="s">
        <v>12</v>
      </c>
      <c r="E345">
        <v>2014</v>
      </c>
      <c r="F345" t="s">
        <v>29</v>
      </c>
      <c r="G345" t="s">
        <v>21</v>
      </c>
      <c r="H345" t="s">
        <v>30</v>
      </c>
      <c r="I345" t="s">
        <v>16</v>
      </c>
      <c r="J345">
        <v>4.2923071E-2</v>
      </c>
      <c r="K345">
        <v>14.6</v>
      </c>
      <c r="L345" s="1">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s="1">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s="1">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s="1">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s="1">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s="1">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s="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s="1">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s="1">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s="1">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s="1">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s="1">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s="1">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s="1">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s="1">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s="1">
        <v>121.2756</v>
      </c>
      <c r="M360">
        <v>5</v>
      </c>
    </row>
    <row r="361" spans="1:13" x14ac:dyDescent="0.3">
      <c r="A361" t="s">
        <v>17</v>
      </c>
      <c r="B361">
        <v>360</v>
      </c>
      <c r="C361" t="s">
        <v>375</v>
      </c>
      <c r="D361" t="s">
        <v>61</v>
      </c>
      <c r="E361">
        <v>2022</v>
      </c>
      <c r="F361" t="s">
        <v>20</v>
      </c>
      <c r="G361" t="s">
        <v>21</v>
      </c>
      <c r="H361" t="s">
        <v>15</v>
      </c>
      <c r="I361" t="s">
        <v>22</v>
      </c>
      <c r="J361">
        <v>4.4430561E-2</v>
      </c>
      <c r="K361">
        <v>18.25</v>
      </c>
      <c r="L361" s="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s="1">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s="1">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s="1">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s="1">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s="1">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s="1">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s="1">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s="1">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s="1">
        <v>108.2938</v>
      </c>
      <c r="M370">
        <v>5</v>
      </c>
    </row>
    <row r="371" spans="1:13" x14ac:dyDescent="0.3">
      <c r="A371" t="s">
        <v>17</v>
      </c>
      <c r="B371">
        <v>370</v>
      </c>
      <c r="C371" t="s">
        <v>384</v>
      </c>
      <c r="D371" t="s">
        <v>54</v>
      </c>
      <c r="E371">
        <v>2022</v>
      </c>
      <c r="F371" t="s">
        <v>20</v>
      </c>
      <c r="G371" t="s">
        <v>21</v>
      </c>
      <c r="H371" t="s">
        <v>15</v>
      </c>
      <c r="I371" t="s">
        <v>22</v>
      </c>
      <c r="J371">
        <v>2.586664E-2</v>
      </c>
      <c r="K371">
        <v>18.5</v>
      </c>
      <c r="L371" s="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s="1">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s="1">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s="1">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s="1">
        <v>253.3724</v>
      </c>
      <c r="M375">
        <v>5</v>
      </c>
    </row>
    <row r="376" spans="1:13" x14ac:dyDescent="0.3">
      <c r="A376" t="s">
        <v>17</v>
      </c>
      <c r="B376">
        <v>375</v>
      </c>
      <c r="C376" t="s">
        <v>388</v>
      </c>
      <c r="D376" t="s">
        <v>48</v>
      </c>
      <c r="E376">
        <v>2022</v>
      </c>
      <c r="F376" t="s">
        <v>20</v>
      </c>
      <c r="G376" t="s">
        <v>21</v>
      </c>
      <c r="H376" t="s">
        <v>15</v>
      </c>
      <c r="I376" t="s">
        <v>22</v>
      </c>
      <c r="J376">
        <v>0.100055625</v>
      </c>
      <c r="K376">
        <v>10</v>
      </c>
      <c r="L376" s="1">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s="1">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s="1">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s="1">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s="1">
        <v>177.33699999999999</v>
      </c>
      <c r="M380">
        <v>5</v>
      </c>
    </row>
    <row r="381" spans="1:13" x14ac:dyDescent="0.3">
      <c r="A381" t="s">
        <v>17</v>
      </c>
      <c r="B381">
        <v>380</v>
      </c>
      <c r="C381" t="s">
        <v>392</v>
      </c>
      <c r="D381" t="s">
        <v>32</v>
      </c>
      <c r="E381">
        <v>2022</v>
      </c>
      <c r="F381" t="s">
        <v>20</v>
      </c>
      <c r="G381" t="s">
        <v>21</v>
      </c>
      <c r="H381" t="s">
        <v>15</v>
      </c>
      <c r="I381" t="s">
        <v>22</v>
      </c>
      <c r="J381">
        <v>0</v>
      </c>
      <c r="K381">
        <v>7.97</v>
      </c>
      <c r="L381" s="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s="1">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s="1">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s="1">
        <v>175.137</v>
      </c>
      <c r="M384">
        <v>5</v>
      </c>
    </row>
    <row r="385" spans="1:13" x14ac:dyDescent="0.3">
      <c r="A385" t="s">
        <v>10</v>
      </c>
      <c r="B385">
        <v>384</v>
      </c>
      <c r="C385" t="s">
        <v>394</v>
      </c>
      <c r="D385" t="s">
        <v>28</v>
      </c>
      <c r="E385">
        <v>2022</v>
      </c>
      <c r="F385" t="s">
        <v>20</v>
      </c>
      <c r="G385" t="s">
        <v>21</v>
      </c>
      <c r="H385" t="s">
        <v>15</v>
      </c>
      <c r="I385" t="s">
        <v>22</v>
      </c>
      <c r="J385">
        <v>3.0211742E-2</v>
      </c>
      <c r="K385">
        <v>13</v>
      </c>
      <c r="L385" s="1">
        <v>59.322000000000003</v>
      </c>
      <c r="M385">
        <v>5</v>
      </c>
    </row>
    <row r="386" spans="1:13" x14ac:dyDescent="0.3">
      <c r="A386" t="s">
        <v>10</v>
      </c>
      <c r="B386">
        <v>385</v>
      </c>
      <c r="C386" t="s">
        <v>395</v>
      </c>
      <c r="D386" t="s">
        <v>28</v>
      </c>
      <c r="E386">
        <v>2022</v>
      </c>
      <c r="F386" t="s">
        <v>20</v>
      </c>
      <c r="G386" t="s">
        <v>21</v>
      </c>
      <c r="H386" t="s">
        <v>15</v>
      </c>
      <c r="I386" t="s">
        <v>22</v>
      </c>
      <c r="J386">
        <v>0</v>
      </c>
      <c r="K386">
        <v>14.5</v>
      </c>
      <c r="L386" s="1">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s="1">
        <v>182.5266</v>
      </c>
      <c r="M387">
        <v>5</v>
      </c>
    </row>
    <row r="388" spans="1:13" x14ac:dyDescent="0.3">
      <c r="A388" t="s">
        <v>10</v>
      </c>
      <c r="B388">
        <v>387</v>
      </c>
      <c r="C388" t="s">
        <v>397</v>
      </c>
      <c r="D388" t="s">
        <v>67</v>
      </c>
      <c r="E388">
        <v>2022</v>
      </c>
      <c r="F388" t="s">
        <v>20</v>
      </c>
      <c r="G388" t="s">
        <v>21</v>
      </c>
      <c r="H388" t="s">
        <v>15</v>
      </c>
      <c r="I388" t="s">
        <v>22</v>
      </c>
      <c r="J388">
        <v>0.184041545</v>
      </c>
      <c r="K388">
        <v>18.25</v>
      </c>
      <c r="L388" s="1">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s="1">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s="1">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s="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s="1">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s="1">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s="1">
        <v>146.61019999999999</v>
      </c>
      <c r="M394">
        <v>5</v>
      </c>
    </row>
    <row r="395" spans="1:13" x14ac:dyDescent="0.3">
      <c r="A395" t="s">
        <v>17</v>
      </c>
      <c r="B395">
        <v>394</v>
      </c>
      <c r="C395" t="s">
        <v>201</v>
      </c>
      <c r="D395" t="s">
        <v>28</v>
      </c>
      <c r="E395">
        <v>2018</v>
      </c>
      <c r="F395" t="s">
        <v>45</v>
      </c>
      <c r="G395" t="s">
        <v>21</v>
      </c>
      <c r="H395" t="s">
        <v>15</v>
      </c>
      <c r="I395" t="s">
        <v>46</v>
      </c>
      <c r="J395">
        <v>8.9243504000000001E-2</v>
      </c>
      <c r="K395"/>
      <c r="L395" s="1">
        <v>139.24959999999999</v>
      </c>
      <c r="M395">
        <v>5</v>
      </c>
    </row>
    <row r="396" spans="1:13" x14ac:dyDescent="0.3">
      <c r="A396" t="s">
        <v>17</v>
      </c>
      <c r="B396">
        <v>395</v>
      </c>
      <c r="C396" t="s">
        <v>404</v>
      </c>
      <c r="D396" t="s">
        <v>28</v>
      </c>
      <c r="E396">
        <v>2018</v>
      </c>
      <c r="F396" t="s">
        <v>45</v>
      </c>
      <c r="G396" t="s">
        <v>21</v>
      </c>
      <c r="H396" t="s">
        <v>15</v>
      </c>
      <c r="I396" t="s">
        <v>46</v>
      </c>
      <c r="J396">
        <v>2.6552056000000001E-2</v>
      </c>
      <c r="K396"/>
      <c r="L396" s="1">
        <v>56.224600000000002</v>
      </c>
      <c r="M396">
        <v>5</v>
      </c>
    </row>
    <row r="397" spans="1:13" x14ac:dyDescent="0.3">
      <c r="A397" t="s">
        <v>17</v>
      </c>
      <c r="B397">
        <v>396</v>
      </c>
      <c r="C397" t="s">
        <v>405</v>
      </c>
      <c r="D397" t="s">
        <v>24</v>
      </c>
      <c r="E397">
        <v>2018</v>
      </c>
      <c r="F397" t="s">
        <v>45</v>
      </c>
      <c r="G397" t="s">
        <v>21</v>
      </c>
      <c r="H397" t="s">
        <v>15</v>
      </c>
      <c r="I397" t="s">
        <v>46</v>
      </c>
      <c r="J397">
        <v>8.7929070000000008E-3</v>
      </c>
      <c r="K397"/>
      <c r="L397" s="1">
        <v>96.738399999999999</v>
      </c>
      <c r="M397">
        <v>5</v>
      </c>
    </row>
    <row r="398" spans="1:13" x14ac:dyDescent="0.3">
      <c r="A398" t="s">
        <v>17</v>
      </c>
      <c r="B398">
        <v>397</v>
      </c>
      <c r="C398" t="s">
        <v>406</v>
      </c>
      <c r="D398" t="s">
        <v>24</v>
      </c>
      <c r="E398">
        <v>2018</v>
      </c>
      <c r="F398" t="s">
        <v>45</v>
      </c>
      <c r="G398" t="s">
        <v>21</v>
      </c>
      <c r="H398" t="s">
        <v>15</v>
      </c>
      <c r="I398" t="s">
        <v>46</v>
      </c>
      <c r="J398">
        <v>5.3038775000000003E-2</v>
      </c>
      <c r="K398"/>
      <c r="L398" s="1">
        <v>59.590400000000002</v>
      </c>
      <c r="M398">
        <v>5</v>
      </c>
    </row>
    <row r="399" spans="1:13" x14ac:dyDescent="0.3">
      <c r="A399" t="s">
        <v>17</v>
      </c>
      <c r="B399">
        <v>398</v>
      </c>
      <c r="C399" t="s">
        <v>407</v>
      </c>
      <c r="D399" t="s">
        <v>24</v>
      </c>
      <c r="E399">
        <v>2018</v>
      </c>
      <c r="F399" t="s">
        <v>45</v>
      </c>
      <c r="G399" t="s">
        <v>21</v>
      </c>
      <c r="H399" t="s">
        <v>15</v>
      </c>
      <c r="I399" t="s">
        <v>46</v>
      </c>
      <c r="J399">
        <v>3.2470107999999998E-2</v>
      </c>
      <c r="K399"/>
      <c r="L399" s="1">
        <v>148.9392</v>
      </c>
      <c r="M399">
        <v>5</v>
      </c>
    </row>
    <row r="400" spans="1:13" x14ac:dyDescent="0.3">
      <c r="A400" t="s">
        <v>17</v>
      </c>
      <c r="B400">
        <v>399</v>
      </c>
      <c r="C400" t="s">
        <v>408</v>
      </c>
      <c r="D400" t="s">
        <v>24</v>
      </c>
      <c r="E400">
        <v>2018</v>
      </c>
      <c r="F400" t="s">
        <v>45</v>
      </c>
      <c r="G400" t="s">
        <v>21</v>
      </c>
      <c r="H400" t="s">
        <v>15</v>
      </c>
      <c r="I400" t="s">
        <v>46</v>
      </c>
      <c r="J400">
        <v>9.5331432999999993E-2</v>
      </c>
      <c r="K400"/>
      <c r="L400" s="1">
        <v>125.56780000000001</v>
      </c>
      <c r="M400">
        <v>5</v>
      </c>
    </row>
    <row r="401" spans="1:13" x14ac:dyDescent="0.3">
      <c r="A401" t="s">
        <v>17</v>
      </c>
      <c r="B401">
        <v>400</v>
      </c>
      <c r="C401" t="s">
        <v>409</v>
      </c>
      <c r="D401" t="s">
        <v>12</v>
      </c>
      <c r="E401">
        <v>2018</v>
      </c>
      <c r="F401" t="s">
        <v>45</v>
      </c>
      <c r="G401" t="s">
        <v>21</v>
      </c>
      <c r="H401" t="s">
        <v>15</v>
      </c>
      <c r="I401" t="s">
        <v>46</v>
      </c>
      <c r="J401">
        <v>0</v>
      </c>
      <c r="K401"/>
      <c r="L401" s="1">
        <v>231.96420000000001</v>
      </c>
      <c r="M401">
        <v>5</v>
      </c>
    </row>
    <row r="402" spans="1:13" x14ac:dyDescent="0.3">
      <c r="A402" t="s">
        <v>17</v>
      </c>
      <c r="B402">
        <v>401</v>
      </c>
      <c r="C402" t="s">
        <v>43</v>
      </c>
      <c r="D402" t="s">
        <v>12</v>
      </c>
      <c r="E402">
        <v>2018</v>
      </c>
      <c r="F402" t="s">
        <v>45</v>
      </c>
      <c r="G402" t="s">
        <v>21</v>
      </c>
      <c r="H402" t="s">
        <v>15</v>
      </c>
      <c r="I402" t="s">
        <v>46</v>
      </c>
      <c r="J402">
        <v>2.4032484E-2</v>
      </c>
      <c r="K402"/>
      <c r="L402" s="1">
        <v>124.973</v>
      </c>
      <c r="M402">
        <v>5</v>
      </c>
    </row>
    <row r="403" spans="1:13" x14ac:dyDescent="0.3">
      <c r="A403" t="s">
        <v>17</v>
      </c>
      <c r="B403">
        <v>402</v>
      </c>
      <c r="C403" t="s">
        <v>60</v>
      </c>
      <c r="D403" t="s">
        <v>61</v>
      </c>
      <c r="E403">
        <v>2018</v>
      </c>
      <c r="F403" t="s">
        <v>45</v>
      </c>
      <c r="G403" t="s">
        <v>21</v>
      </c>
      <c r="H403" t="s">
        <v>15</v>
      </c>
      <c r="I403" t="s">
        <v>46</v>
      </c>
      <c r="J403">
        <v>1.6745263999999999E-2</v>
      </c>
      <c r="K403"/>
      <c r="L403" s="1">
        <v>180.76599999999999</v>
      </c>
      <c r="M403">
        <v>5</v>
      </c>
    </row>
    <row r="404" spans="1:13" x14ac:dyDescent="0.3">
      <c r="A404" t="s">
        <v>17</v>
      </c>
      <c r="B404">
        <v>403</v>
      </c>
      <c r="C404" t="s">
        <v>410</v>
      </c>
      <c r="D404" t="s">
        <v>19</v>
      </c>
      <c r="E404">
        <v>2018</v>
      </c>
      <c r="F404" t="s">
        <v>45</v>
      </c>
      <c r="G404" t="s">
        <v>21</v>
      </c>
      <c r="H404" t="s">
        <v>15</v>
      </c>
      <c r="I404" t="s">
        <v>46</v>
      </c>
      <c r="J404">
        <v>5.8198141000000002E-2</v>
      </c>
      <c r="K404"/>
      <c r="L404" s="1">
        <v>110.45440000000001</v>
      </c>
      <c r="M404">
        <v>5</v>
      </c>
    </row>
    <row r="405" spans="1:13" x14ac:dyDescent="0.3">
      <c r="A405" t="s">
        <v>17</v>
      </c>
      <c r="B405">
        <v>404</v>
      </c>
      <c r="C405" t="s">
        <v>411</v>
      </c>
      <c r="D405" t="s">
        <v>42</v>
      </c>
      <c r="E405">
        <v>2018</v>
      </c>
      <c r="F405" t="s">
        <v>45</v>
      </c>
      <c r="G405" t="s">
        <v>21</v>
      </c>
      <c r="H405" t="s">
        <v>15</v>
      </c>
      <c r="I405" t="s">
        <v>46</v>
      </c>
      <c r="J405">
        <v>9.2564193000000003E-2</v>
      </c>
      <c r="K405"/>
      <c r="L405" s="1">
        <v>53.495600000000003</v>
      </c>
      <c r="M405">
        <v>5</v>
      </c>
    </row>
    <row r="406" spans="1:13" x14ac:dyDescent="0.3">
      <c r="A406" t="s">
        <v>17</v>
      </c>
      <c r="B406">
        <v>405</v>
      </c>
      <c r="C406" t="s">
        <v>412</v>
      </c>
      <c r="D406" t="s">
        <v>42</v>
      </c>
      <c r="E406">
        <v>2018</v>
      </c>
      <c r="F406" t="s">
        <v>45</v>
      </c>
      <c r="G406" t="s">
        <v>21</v>
      </c>
      <c r="H406" t="s">
        <v>15</v>
      </c>
      <c r="I406" t="s">
        <v>46</v>
      </c>
      <c r="J406">
        <v>0.12929931</v>
      </c>
      <c r="K406"/>
      <c r="L406" s="1">
        <v>178.23699999999999</v>
      </c>
      <c r="M406">
        <v>5</v>
      </c>
    </row>
    <row r="407" spans="1:13" x14ac:dyDescent="0.3">
      <c r="A407" t="s">
        <v>17</v>
      </c>
      <c r="B407">
        <v>406</v>
      </c>
      <c r="C407" t="s">
        <v>413</v>
      </c>
      <c r="D407" t="s">
        <v>42</v>
      </c>
      <c r="E407">
        <v>2018</v>
      </c>
      <c r="F407" t="s">
        <v>45</v>
      </c>
      <c r="G407" t="s">
        <v>21</v>
      </c>
      <c r="H407" t="s">
        <v>15</v>
      </c>
      <c r="I407" t="s">
        <v>46</v>
      </c>
      <c r="J407">
        <v>7.3879939000000006E-2</v>
      </c>
      <c r="K407"/>
      <c r="L407" s="1">
        <v>94.046199999999999</v>
      </c>
      <c r="M407">
        <v>5</v>
      </c>
    </row>
    <row r="408" spans="1:13" x14ac:dyDescent="0.3">
      <c r="A408" t="s">
        <v>17</v>
      </c>
      <c r="B408">
        <v>407</v>
      </c>
      <c r="C408" t="s">
        <v>380</v>
      </c>
      <c r="D408" t="s">
        <v>42</v>
      </c>
      <c r="E408">
        <v>2018</v>
      </c>
      <c r="F408" t="s">
        <v>45</v>
      </c>
      <c r="G408" t="s">
        <v>21</v>
      </c>
      <c r="H408" t="s">
        <v>15</v>
      </c>
      <c r="I408" t="s">
        <v>46</v>
      </c>
      <c r="J408">
        <v>7.6183666999999997E-2</v>
      </c>
      <c r="K408"/>
      <c r="L408" s="1">
        <v>245.64599999999999</v>
      </c>
      <c r="M408">
        <v>5</v>
      </c>
    </row>
    <row r="409" spans="1:13" x14ac:dyDescent="0.3">
      <c r="A409" t="s">
        <v>17</v>
      </c>
      <c r="B409">
        <v>408</v>
      </c>
      <c r="C409" t="s">
        <v>115</v>
      </c>
      <c r="D409" t="s">
        <v>42</v>
      </c>
      <c r="E409">
        <v>2018</v>
      </c>
      <c r="F409" t="s">
        <v>45</v>
      </c>
      <c r="G409" t="s">
        <v>21</v>
      </c>
      <c r="H409" t="s">
        <v>15</v>
      </c>
      <c r="I409" t="s">
        <v>46</v>
      </c>
      <c r="J409">
        <v>6.6969525000000002E-2</v>
      </c>
      <c r="K409"/>
      <c r="L409" s="1">
        <v>39.279600000000002</v>
      </c>
      <c r="M409">
        <v>5</v>
      </c>
    </row>
    <row r="410" spans="1:13" x14ac:dyDescent="0.3">
      <c r="A410" t="s">
        <v>17</v>
      </c>
      <c r="B410">
        <v>409</v>
      </c>
      <c r="C410" t="s">
        <v>382</v>
      </c>
      <c r="D410" t="s">
        <v>42</v>
      </c>
      <c r="E410">
        <v>2018</v>
      </c>
      <c r="F410" t="s">
        <v>45</v>
      </c>
      <c r="G410" t="s">
        <v>21</v>
      </c>
      <c r="H410" t="s">
        <v>15</v>
      </c>
      <c r="I410" t="s">
        <v>46</v>
      </c>
      <c r="J410">
        <v>1.4153743E-2</v>
      </c>
      <c r="K410"/>
      <c r="L410" s="1">
        <v>145.64179999999999</v>
      </c>
      <c r="M410">
        <v>5</v>
      </c>
    </row>
    <row r="411" spans="1:13" x14ac:dyDescent="0.3">
      <c r="A411" t="s">
        <v>17</v>
      </c>
      <c r="B411">
        <v>410</v>
      </c>
      <c r="C411" t="s">
        <v>414</v>
      </c>
      <c r="D411" t="s">
        <v>42</v>
      </c>
      <c r="E411">
        <v>2018</v>
      </c>
      <c r="F411" t="s">
        <v>45</v>
      </c>
      <c r="G411" t="s">
        <v>21</v>
      </c>
      <c r="H411" t="s">
        <v>15</v>
      </c>
      <c r="I411" t="s">
        <v>46</v>
      </c>
      <c r="J411">
        <v>1.9412192000000002E-2</v>
      </c>
      <c r="K411"/>
      <c r="L411" s="1">
        <v>166.54740000000001</v>
      </c>
      <c r="M411">
        <v>5</v>
      </c>
    </row>
    <row r="412" spans="1:13" x14ac:dyDescent="0.3">
      <c r="A412" t="s">
        <v>17</v>
      </c>
      <c r="B412">
        <v>411</v>
      </c>
      <c r="C412" t="s">
        <v>415</v>
      </c>
      <c r="D412" t="s">
        <v>64</v>
      </c>
      <c r="E412">
        <v>2018</v>
      </c>
      <c r="F412" t="s">
        <v>45</v>
      </c>
      <c r="G412" t="s">
        <v>21</v>
      </c>
      <c r="H412" t="s">
        <v>15</v>
      </c>
      <c r="I412" t="s">
        <v>46</v>
      </c>
      <c r="J412">
        <v>0.117607719</v>
      </c>
      <c r="K412"/>
      <c r="L412" s="1">
        <v>55.258800000000001</v>
      </c>
      <c r="M412">
        <v>5</v>
      </c>
    </row>
    <row r="413" spans="1:13" x14ac:dyDescent="0.3">
      <c r="A413" t="s">
        <v>17</v>
      </c>
      <c r="B413">
        <v>412</v>
      </c>
      <c r="C413" t="s">
        <v>416</v>
      </c>
      <c r="D413" t="s">
        <v>48</v>
      </c>
      <c r="E413">
        <v>2018</v>
      </c>
      <c r="F413" t="s">
        <v>45</v>
      </c>
      <c r="G413" t="s">
        <v>21</v>
      </c>
      <c r="H413" t="s">
        <v>15</v>
      </c>
      <c r="I413" t="s">
        <v>46</v>
      </c>
      <c r="J413">
        <v>0.14057197099999999</v>
      </c>
      <c r="K413"/>
      <c r="L413" s="1">
        <v>154.7998</v>
      </c>
      <c r="M413">
        <v>5</v>
      </c>
    </row>
    <row r="414" spans="1:13" x14ac:dyDescent="0.3">
      <c r="A414" t="s">
        <v>17</v>
      </c>
      <c r="B414">
        <v>413</v>
      </c>
      <c r="C414" t="s">
        <v>417</v>
      </c>
      <c r="D414" t="s">
        <v>48</v>
      </c>
      <c r="E414">
        <v>2018</v>
      </c>
      <c r="F414" t="s">
        <v>45</v>
      </c>
      <c r="G414" t="s">
        <v>21</v>
      </c>
      <c r="H414" t="s">
        <v>15</v>
      </c>
      <c r="I414" t="s">
        <v>46</v>
      </c>
      <c r="J414">
        <v>9.9478450999999996E-2</v>
      </c>
      <c r="K414"/>
      <c r="L414" s="1">
        <v>194.4452</v>
      </c>
      <c r="M414">
        <v>5</v>
      </c>
    </row>
    <row r="415" spans="1:13" x14ac:dyDescent="0.3">
      <c r="A415" t="s">
        <v>17</v>
      </c>
      <c r="B415">
        <v>414</v>
      </c>
      <c r="C415" t="s">
        <v>418</v>
      </c>
      <c r="D415" t="s">
        <v>48</v>
      </c>
      <c r="E415">
        <v>2018</v>
      </c>
      <c r="F415" t="s">
        <v>45</v>
      </c>
      <c r="G415" t="s">
        <v>21</v>
      </c>
      <c r="H415" t="s">
        <v>15</v>
      </c>
      <c r="I415" t="s">
        <v>46</v>
      </c>
      <c r="J415">
        <v>3.3725743000000002E-2</v>
      </c>
      <c r="K415"/>
      <c r="L415" s="1">
        <v>211.6902</v>
      </c>
      <c r="M415">
        <v>5</v>
      </c>
    </row>
    <row r="416" spans="1:13" x14ac:dyDescent="0.3">
      <c r="A416" t="s">
        <v>17</v>
      </c>
      <c r="B416">
        <v>415</v>
      </c>
      <c r="C416" t="s">
        <v>356</v>
      </c>
      <c r="D416" t="s">
        <v>32</v>
      </c>
      <c r="E416">
        <v>2018</v>
      </c>
      <c r="F416" t="s">
        <v>45</v>
      </c>
      <c r="G416" t="s">
        <v>21</v>
      </c>
      <c r="H416" t="s">
        <v>15</v>
      </c>
      <c r="I416" t="s">
        <v>46</v>
      </c>
      <c r="J416">
        <v>5.3113721000000003E-2</v>
      </c>
      <c r="K416"/>
      <c r="L416" s="1">
        <v>44.377000000000002</v>
      </c>
      <c r="M416">
        <v>5</v>
      </c>
    </row>
    <row r="417" spans="1:13" x14ac:dyDescent="0.3">
      <c r="A417" t="s">
        <v>10</v>
      </c>
      <c r="B417">
        <v>416</v>
      </c>
      <c r="C417" t="s">
        <v>419</v>
      </c>
      <c r="D417" t="s">
        <v>95</v>
      </c>
      <c r="E417">
        <v>2018</v>
      </c>
      <c r="F417" t="s">
        <v>45</v>
      </c>
      <c r="G417" t="s">
        <v>21</v>
      </c>
      <c r="H417" t="s">
        <v>15</v>
      </c>
      <c r="I417" t="s">
        <v>46</v>
      </c>
      <c r="J417">
        <v>0</v>
      </c>
      <c r="K417"/>
      <c r="L417" s="1">
        <v>165.58680000000001</v>
      </c>
      <c r="M417">
        <v>5</v>
      </c>
    </row>
    <row r="418" spans="1:13" x14ac:dyDescent="0.3">
      <c r="A418" t="s">
        <v>10</v>
      </c>
      <c r="B418">
        <v>417</v>
      </c>
      <c r="C418" t="s">
        <v>420</v>
      </c>
      <c r="D418" t="s">
        <v>95</v>
      </c>
      <c r="E418">
        <v>2018</v>
      </c>
      <c r="F418" t="s">
        <v>45</v>
      </c>
      <c r="G418" t="s">
        <v>21</v>
      </c>
      <c r="H418" t="s">
        <v>15</v>
      </c>
      <c r="I418" t="s">
        <v>46</v>
      </c>
      <c r="J418">
        <v>6.2954719999999999E-3</v>
      </c>
      <c r="K418"/>
      <c r="L418" s="1">
        <v>122.4098</v>
      </c>
      <c r="M418">
        <v>5</v>
      </c>
    </row>
    <row r="419" spans="1:13" x14ac:dyDescent="0.3">
      <c r="A419" t="s">
        <v>10</v>
      </c>
      <c r="B419">
        <v>418</v>
      </c>
      <c r="C419" t="s">
        <v>421</v>
      </c>
      <c r="D419" t="s">
        <v>95</v>
      </c>
      <c r="E419">
        <v>2018</v>
      </c>
      <c r="F419" t="s">
        <v>45</v>
      </c>
      <c r="G419" t="s">
        <v>21</v>
      </c>
      <c r="H419" t="s">
        <v>15</v>
      </c>
      <c r="I419" t="s">
        <v>46</v>
      </c>
      <c r="J419">
        <v>0.13948429200000001</v>
      </c>
      <c r="K419"/>
      <c r="L419" s="1">
        <v>94.311999999999998</v>
      </c>
      <c r="M419">
        <v>5</v>
      </c>
    </row>
    <row r="420" spans="1:13" x14ac:dyDescent="0.3">
      <c r="A420" t="s">
        <v>10</v>
      </c>
      <c r="B420">
        <v>419</v>
      </c>
      <c r="C420" t="s">
        <v>422</v>
      </c>
      <c r="D420" t="s">
        <v>74</v>
      </c>
      <c r="E420">
        <v>2018</v>
      </c>
      <c r="F420" t="s">
        <v>45</v>
      </c>
      <c r="G420" t="s">
        <v>21</v>
      </c>
      <c r="H420" t="s">
        <v>15</v>
      </c>
      <c r="I420" t="s">
        <v>46</v>
      </c>
      <c r="J420">
        <v>0.15607236099999999</v>
      </c>
      <c r="K420"/>
      <c r="L420" s="1">
        <v>169.34739999999999</v>
      </c>
      <c r="M420">
        <v>5</v>
      </c>
    </row>
    <row r="421" spans="1:13" x14ac:dyDescent="0.3">
      <c r="A421" t="s">
        <v>10</v>
      </c>
      <c r="B421">
        <v>420</v>
      </c>
      <c r="C421" t="s">
        <v>423</v>
      </c>
      <c r="D421" t="s">
        <v>28</v>
      </c>
      <c r="E421">
        <v>2018</v>
      </c>
      <c r="F421" t="s">
        <v>45</v>
      </c>
      <c r="G421" t="s">
        <v>21</v>
      </c>
      <c r="H421" t="s">
        <v>15</v>
      </c>
      <c r="I421" t="s">
        <v>46</v>
      </c>
      <c r="J421">
        <v>0.102226474</v>
      </c>
      <c r="K421"/>
      <c r="L421" s="1">
        <v>91.311999999999998</v>
      </c>
      <c r="M421">
        <v>5</v>
      </c>
    </row>
    <row r="422" spans="1:13" x14ac:dyDescent="0.3">
      <c r="A422" t="s">
        <v>10</v>
      </c>
      <c r="B422">
        <v>421</v>
      </c>
      <c r="C422" t="s">
        <v>396</v>
      </c>
      <c r="D422" t="s">
        <v>28</v>
      </c>
      <c r="E422">
        <v>2018</v>
      </c>
      <c r="F422" t="s">
        <v>45</v>
      </c>
      <c r="G422" t="s">
        <v>21</v>
      </c>
      <c r="H422" t="s">
        <v>15</v>
      </c>
      <c r="I422" t="s">
        <v>46</v>
      </c>
      <c r="J422">
        <v>0.16065368199999999</v>
      </c>
      <c r="K422"/>
      <c r="L422" s="1">
        <v>185.22659999999999</v>
      </c>
      <c r="M422">
        <v>5</v>
      </c>
    </row>
    <row r="423" spans="1:13" x14ac:dyDescent="0.3">
      <c r="A423" t="s">
        <v>10</v>
      </c>
      <c r="B423">
        <v>422</v>
      </c>
      <c r="C423" t="s">
        <v>424</v>
      </c>
      <c r="D423" t="s">
        <v>67</v>
      </c>
      <c r="E423">
        <v>2018</v>
      </c>
      <c r="F423" t="s">
        <v>45</v>
      </c>
      <c r="G423" t="s">
        <v>21</v>
      </c>
      <c r="H423" t="s">
        <v>15</v>
      </c>
      <c r="I423" t="s">
        <v>46</v>
      </c>
      <c r="J423">
        <v>3.7962695999999997E-2</v>
      </c>
      <c r="K423"/>
      <c r="L423" s="1">
        <v>97.572599999999994</v>
      </c>
      <c r="M423">
        <v>5</v>
      </c>
    </row>
    <row r="424" spans="1:13" x14ac:dyDescent="0.3">
      <c r="A424" t="s">
        <v>10</v>
      </c>
      <c r="B424">
        <v>423</v>
      </c>
      <c r="C424" t="s">
        <v>425</v>
      </c>
      <c r="D424" t="s">
        <v>24</v>
      </c>
      <c r="E424">
        <v>2018</v>
      </c>
      <c r="F424" t="s">
        <v>45</v>
      </c>
      <c r="G424" t="s">
        <v>21</v>
      </c>
      <c r="H424" t="s">
        <v>15</v>
      </c>
      <c r="I424" t="s">
        <v>46</v>
      </c>
      <c r="J424">
        <v>9.0473389000000001E-2</v>
      </c>
      <c r="K424"/>
      <c r="L424" s="1">
        <v>229.79839999999999</v>
      </c>
      <c r="M424">
        <v>5</v>
      </c>
    </row>
    <row r="425" spans="1:13" x14ac:dyDescent="0.3">
      <c r="A425" t="s">
        <v>10</v>
      </c>
      <c r="B425">
        <v>424</v>
      </c>
      <c r="C425" t="s">
        <v>426</v>
      </c>
      <c r="D425" t="s">
        <v>12</v>
      </c>
      <c r="E425">
        <v>2018</v>
      </c>
      <c r="F425" t="s">
        <v>45</v>
      </c>
      <c r="G425" t="s">
        <v>21</v>
      </c>
      <c r="H425" t="s">
        <v>15</v>
      </c>
      <c r="I425" t="s">
        <v>46</v>
      </c>
      <c r="J425">
        <v>0.14433849300000001</v>
      </c>
      <c r="K425"/>
      <c r="L425" s="1">
        <v>172.108</v>
      </c>
      <c r="M425">
        <v>5</v>
      </c>
    </row>
    <row r="426" spans="1:13" x14ac:dyDescent="0.3">
      <c r="A426" t="s">
        <v>10</v>
      </c>
      <c r="B426">
        <v>425</v>
      </c>
      <c r="C426" t="s">
        <v>427</v>
      </c>
      <c r="D426" t="s">
        <v>12</v>
      </c>
      <c r="E426">
        <v>2018</v>
      </c>
      <c r="F426" t="s">
        <v>45</v>
      </c>
      <c r="G426" t="s">
        <v>21</v>
      </c>
      <c r="H426" t="s">
        <v>15</v>
      </c>
      <c r="I426" t="s">
        <v>46</v>
      </c>
      <c r="J426">
        <v>3.8313980999999997E-2</v>
      </c>
      <c r="K426"/>
      <c r="L426" s="1">
        <v>109.95699999999999</v>
      </c>
      <c r="M426">
        <v>5</v>
      </c>
    </row>
    <row r="427" spans="1:13" x14ac:dyDescent="0.3">
      <c r="A427" t="s">
        <v>10</v>
      </c>
      <c r="B427">
        <v>426</v>
      </c>
      <c r="C427" t="s">
        <v>428</v>
      </c>
      <c r="D427" t="s">
        <v>54</v>
      </c>
      <c r="E427">
        <v>2018</v>
      </c>
      <c r="F427" t="s">
        <v>45</v>
      </c>
      <c r="G427" t="s">
        <v>21</v>
      </c>
      <c r="H427" t="s">
        <v>15</v>
      </c>
      <c r="I427" t="s">
        <v>46</v>
      </c>
      <c r="J427">
        <v>0.17262968300000001</v>
      </c>
      <c r="K427"/>
      <c r="L427" s="1">
        <v>148.4708</v>
      </c>
      <c r="M427">
        <v>5</v>
      </c>
    </row>
    <row r="428" spans="1:13" x14ac:dyDescent="0.3">
      <c r="A428" t="s">
        <v>10</v>
      </c>
      <c r="B428">
        <v>427</v>
      </c>
      <c r="C428" t="s">
        <v>261</v>
      </c>
      <c r="D428" t="s">
        <v>48</v>
      </c>
      <c r="E428">
        <v>2018</v>
      </c>
      <c r="F428" t="s">
        <v>45</v>
      </c>
      <c r="G428" t="s">
        <v>21</v>
      </c>
      <c r="H428" t="s">
        <v>15</v>
      </c>
      <c r="I428" t="s">
        <v>46</v>
      </c>
      <c r="J428">
        <v>1.0928678000000001E-2</v>
      </c>
      <c r="K428"/>
      <c r="L428" s="1">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s="1">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s="1">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K431"/>
      <c r="L431" s="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s="1">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s="1">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s="1">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s="1">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s="1">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s="1">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s="1">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s="1">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s="1">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s="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K442"/>
      <c r="L442" s="1">
        <v>194.74520000000001</v>
      </c>
      <c r="M442">
        <v>4.9000000000000004</v>
      </c>
    </row>
    <row r="443" spans="1:13" x14ac:dyDescent="0.3">
      <c r="A443" t="s">
        <v>17</v>
      </c>
      <c r="B443">
        <v>442</v>
      </c>
      <c r="C443" t="s">
        <v>438</v>
      </c>
      <c r="D443" t="s">
        <v>19</v>
      </c>
      <c r="E443">
        <v>2018</v>
      </c>
      <c r="F443" t="s">
        <v>45</v>
      </c>
      <c r="G443" t="s">
        <v>21</v>
      </c>
      <c r="H443" t="s">
        <v>15</v>
      </c>
      <c r="I443" t="s">
        <v>46</v>
      </c>
      <c r="J443">
        <v>0</v>
      </c>
      <c r="K443"/>
      <c r="L443" s="1">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s="1">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s="1">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s="1">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s="1">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s="1">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s="1">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s="1">
        <v>143.81280000000001</v>
      </c>
      <c r="M450">
        <v>4.8</v>
      </c>
    </row>
    <row r="451" spans="1:13" x14ac:dyDescent="0.3">
      <c r="A451" t="s">
        <v>17</v>
      </c>
      <c r="B451">
        <v>450</v>
      </c>
      <c r="C451" t="s">
        <v>445</v>
      </c>
      <c r="D451" t="s">
        <v>95</v>
      </c>
      <c r="E451">
        <v>2018</v>
      </c>
      <c r="F451" t="s">
        <v>45</v>
      </c>
      <c r="G451" t="s">
        <v>21</v>
      </c>
      <c r="H451" t="s">
        <v>15</v>
      </c>
      <c r="I451" t="s">
        <v>46</v>
      </c>
      <c r="J451">
        <v>2.1170542000000001E-2</v>
      </c>
      <c r="K451"/>
      <c r="L451" s="1">
        <v>117.61239999999999</v>
      </c>
      <c r="M451">
        <v>4.8</v>
      </c>
    </row>
    <row r="452" spans="1:13" x14ac:dyDescent="0.3">
      <c r="A452" t="s">
        <v>17</v>
      </c>
      <c r="B452">
        <v>451</v>
      </c>
      <c r="C452" t="s">
        <v>446</v>
      </c>
      <c r="D452" t="s">
        <v>12</v>
      </c>
      <c r="E452">
        <v>2012</v>
      </c>
      <c r="F452" t="s">
        <v>13</v>
      </c>
      <c r="G452" t="s">
        <v>14</v>
      </c>
      <c r="H452" t="s">
        <v>15</v>
      </c>
      <c r="I452" t="s">
        <v>16</v>
      </c>
      <c r="J452">
        <v>0</v>
      </c>
      <c r="K452">
        <v>11.5</v>
      </c>
      <c r="L452" s="1">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s="1">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s="1">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s="1">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s="1">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s="1">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s="1">
        <v>126.07040000000001</v>
      </c>
      <c r="M458">
        <v>4.8</v>
      </c>
    </row>
    <row r="459" spans="1:13" x14ac:dyDescent="0.3">
      <c r="A459" t="s">
        <v>17</v>
      </c>
      <c r="B459">
        <v>458</v>
      </c>
      <c r="C459" t="s">
        <v>452</v>
      </c>
      <c r="D459" t="s">
        <v>24</v>
      </c>
      <c r="E459">
        <v>2018</v>
      </c>
      <c r="F459" t="s">
        <v>138</v>
      </c>
      <c r="G459" t="s">
        <v>14</v>
      </c>
      <c r="H459" t="s">
        <v>26</v>
      </c>
      <c r="I459" t="s">
        <v>40</v>
      </c>
      <c r="J459">
        <v>0.14359158599999999</v>
      </c>
      <c r="K459"/>
      <c r="L459" s="1">
        <v>213.55340000000001</v>
      </c>
      <c r="M459">
        <v>4.8</v>
      </c>
    </row>
    <row r="460" spans="1:13" x14ac:dyDescent="0.3">
      <c r="A460" t="s">
        <v>17</v>
      </c>
      <c r="B460">
        <v>459</v>
      </c>
      <c r="C460" t="s">
        <v>453</v>
      </c>
      <c r="D460" t="s">
        <v>95</v>
      </c>
      <c r="E460">
        <v>2018</v>
      </c>
      <c r="F460" t="s">
        <v>138</v>
      </c>
      <c r="G460" t="s">
        <v>14</v>
      </c>
      <c r="H460" t="s">
        <v>26</v>
      </c>
      <c r="I460" t="s">
        <v>40</v>
      </c>
      <c r="J460">
        <v>6.1999647999999997E-2</v>
      </c>
      <c r="K460"/>
      <c r="L460" s="1">
        <v>230.001</v>
      </c>
      <c r="M460">
        <v>4.8</v>
      </c>
    </row>
    <row r="461" spans="1:13" x14ac:dyDescent="0.3">
      <c r="A461" t="s">
        <v>17</v>
      </c>
      <c r="B461">
        <v>460</v>
      </c>
      <c r="C461" t="s">
        <v>454</v>
      </c>
      <c r="D461" t="s">
        <v>67</v>
      </c>
      <c r="E461">
        <v>2018</v>
      </c>
      <c r="F461" t="s">
        <v>138</v>
      </c>
      <c r="G461" t="s">
        <v>14</v>
      </c>
      <c r="H461" t="s">
        <v>26</v>
      </c>
      <c r="I461" t="s">
        <v>40</v>
      </c>
      <c r="J461">
        <v>0</v>
      </c>
      <c r="K461"/>
      <c r="L461" s="1">
        <v>51.234999999999999</v>
      </c>
      <c r="M461">
        <v>4.8</v>
      </c>
    </row>
    <row r="462" spans="1:13" x14ac:dyDescent="0.3">
      <c r="A462" t="s">
        <v>17</v>
      </c>
      <c r="B462">
        <v>461</v>
      </c>
      <c r="C462" t="s">
        <v>455</v>
      </c>
      <c r="D462" t="s">
        <v>48</v>
      </c>
      <c r="E462">
        <v>2018</v>
      </c>
      <c r="F462" t="s">
        <v>138</v>
      </c>
      <c r="G462" t="s">
        <v>14</v>
      </c>
      <c r="H462" t="s">
        <v>26</v>
      </c>
      <c r="I462" t="s">
        <v>40</v>
      </c>
      <c r="J462">
        <v>0.16845554900000001</v>
      </c>
      <c r="K462"/>
      <c r="L462" s="1">
        <v>211.06120000000001</v>
      </c>
      <c r="M462">
        <v>4.8</v>
      </c>
    </row>
    <row r="463" spans="1:13" x14ac:dyDescent="0.3">
      <c r="A463" t="s">
        <v>10</v>
      </c>
      <c r="B463">
        <v>462</v>
      </c>
      <c r="C463" t="s">
        <v>456</v>
      </c>
      <c r="D463" t="s">
        <v>67</v>
      </c>
      <c r="E463">
        <v>2018</v>
      </c>
      <c r="F463" t="s">
        <v>138</v>
      </c>
      <c r="G463" t="s">
        <v>14</v>
      </c>
      <c r="H463" t="s">
        <v>26</v>
      </c>
      <c r="I463" t="s">
        <v>40</v>
      </c>
      <c r="J463">
        <v>6.6006824000000006E-2</v>
      </c>
      <c r="K463"/>
      <c r="L463" s="1">
        <v>126.2704</v>
      </c>
      <c r="M463">
        <v>4.8</v>
      </c>
    </row>
    <row r="464" spans="1:13" x14ac:dyDescent="0.3">
      <c r="A464" t="s">
        <v>10</v>
      </c>
      <c r="B464">
        <v>463</v>
      </c>
      <c r="C464" t="s">
        <v>457</v>
      </c>
      <c r="D464" t="s">
        <v>54</v>
      </c>
      <c r="E464">
        <v>2018</v>
      </c>
      <c r="F464" t="s">
        <v>138</v>
      </c>
      <c r="G464" t="s">
        <v>14</v>
      </c>
      <c r="H464" t="s">
        <v>26</v>
      </c>
      <c r="I464" t="s">
        <v>40</v>
      </c>
      <c r="J464">
        <v>5.8545606E-2</v>
      </c>
      <c r="K464"/>
      <c r="L464" s="1">
        <v>155.8314</v>
      </c>
      <c r="M464">
        <v>4.8</v>
      </c>
    </row>
    <row r="465" spans="1:13" x14ac:dyDescent="0.3">
      <c r="A465" t="s">
        <v>10</v>
      </c>
      <c r="B465">
        <v>464</v>
      </c>
      <c r="C465" t="s">
        <v>458</v>
      </c>
      <c r="D465" t="s">
        <v>48</v>
      </c>
      <c r="E465">
        <v>2018</v>
      </c>
      <c r="F465" t="s">
        <v>138</v>
      </c>
      <c r="G465" t="s">
        <v>14</v>
      </c>
      <c r="H465" t="s">
        <v>26</v>
      </c>
      <c r="I465" t="s">
        <v>40</v>
      </c>
      <c r="J465">
        <v>8.0127282999999994E-2</v>
      </c>
      <c r="K465"/>
      <c r="L465" s="1">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s="1">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s="1">
        <v>112.5202</v>
      </c>
      <c r="M467">
        <v>4.8</v>
      </c>
    </row>
    <row r="468" spans="1:13" x14ac:dyDescent="0.3">
      <c r="A468" t="s">
        <v>10</v>
      </c>
      <c r="B468">
        <v>467</v>
      </c>
      <c r="C468" t="s">
        <v>461</v>
      </c>
      <c r="D468" t="s">
        <v>12</v>
      </c>
      <c r="E468">
        <v>2016</v>
      </c>
      <c r="F468" t="s">
        <v>25</v>
      </c>
      <c r="G468" t="s">
        <v>14</v>
      </c>
      <c r="H468" t="s">
        <v>26</v>
      </c>
      <c r="I468" t="s">
        <v>16</v>
      </c>
      <c r="J468">
        <v>0.161504957</v>
      </c>
      <c r="K468">
        <v>21.1</v>
      </c>
      <c r="L468" s="1">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s="1">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s="1">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s="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s="1">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s="1">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s="1">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s="1">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s="1">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s="1">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s="1">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s="1">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s="1">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s="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s="1">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s="1">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s="1">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s="1">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s="1">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s="1">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s="1">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s="1">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s="1">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s="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s="1">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s="1">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s="1">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s="1">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s="1">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s="1">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s="1">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s="1">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s="1">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s="1">
        <v>46.374400000000001</v>
      </c>
      <c r="M501">
        <v>4.8</v>
      </c>
    </row>
    <row r="502" spans="1:13" x14ac:dyDescent="0.3">
      <c r="A502" t="s">
        <v>10</v>
      </c>
      <c r="B502">
        <v>501</v>
      </c>
      <c r="C502" t="s">
        <v>487</v>
      </c>
      <c r="D502" t="s">
        <v>48</v>
      </c>
      <c r="E502">
        <v>2022</v>
      </c>
      <c r="F502" t="s">
        <v>20</v>
      </c>
      <c r="G502" t="s">
        <v>21</v>
      </c>
      <c r="H502" t="s">
        <v>15</v>
      </c>
      <c r="I502" t="s">
        <v>22</v>
      </c>
      <c r="J502">
        <v>0</v>
      </c>
      <c r="K502">
        <v>6.67</v>
      </c>
      <c r="L502" s="1">
        <v>90.551400000000001</v>
      </c>
      <c r="M502">
        <v>4.8</v>
      </c>
    </row>
    <row r="503" spans="1:13" x14ac:dyDescent="0.3">
      <c r="A503" t="s">
        <v>10</v>
      </c>
      <c r="B503">
        <v>502</v>
      </c>
      <c r="C503" t="s">
        <v>488</v>
      </c>
      <c r="D503" t="s">
        <v>12</v>
      </c>
      <c r="E503">
        <v>2018</v>
      </c>
      <c r="F503" t="s">
        <v>45</v>
      </c>
      <c r="G503" t="s">
        <v>21</v>
      </c>
      <c r="H503" t="s">
        <v>15</v>
      </c>
      <c r="I503" t="s">
        <v>46</v>
      </c>
      <c r="J503">
        <v>4.8738406999999997E-2</v>
      </c>
      <c r="K503"/>
      <c r="L503" s="1">
        <v>152.8682</v>
      </c>
      <c r="M503">
        <v>4.8</v>
      </c>
    </row>
    <row r="504" spans="1:13" x14ac:dyDescent="0.3">
      <c r="A504" t="s">
        <v>10</v>
      </c>
      <c r="B504">
        <v>503</v>
      </c>
      <c r="C504" t="s">
        <v>489</v>
      </c>
      <c r="D504" t="s">
        <v>54</v>
      </c>
      <c r="E504">
        <v>2018</v>
      </c>
      <c r="F504" t="s">
        <v>45</v>
      </c>
      <c r="G504" t="s">
        <v>21</v>
      </c>
      <c r="H504" t="s">
        <v>15</v>
      </c>
      <c r="I504" t="s">
        <v>46</v>
      </c>
      <c r="J504">
        <v>3.670437E-2</v>
      </c>
      <c r="K504"/>
      <c r="L504" s="1">
        <v>228.1352</v>
      </c>
      <c r="M504">
        <v>4.8</v>
      </c>
    </row>
    <row r="505" spans="1:13" x14ac:dyDescent="0.3">
      <c r="A505" t="s">
        <v>10</v>
      </c>
      <c r="B505">
        <v>504</v>
      </c>
      <c r="C505" t="s">
        <v>490</v>
      </c>
      <c r="D505" t="s">
        <v>159</v>
      </c>
      <c r="E505">
        <v>2018</v>
      </c>
      <c r="F505" t="s">
        <v>45</v>
      </c>
      <c r="G505" t="s">
        <v>21</v>
      </c>
      <c r="H505" t="s">
        <v>15</v>
      </c>
      <c r="I505" t="s">
        <v>46</v>
      </c>
      <c r="J505">
        <v>5.436436E-2</v>
      </c>
      <c r="K505"/>
      <c r="L505" s="1">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s="1">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s="1">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s="1">
        <v>117.8466</v>
      </c>
      <c r="M508">
        <v>4.7</v>
      </c>
    </row>
    <row r="509" spans="1:13" x14ac:dyDescent="0.3">
      <c r="A509" t="s">
        <v>10</v>
      </c>
      <c r="B509">
        <v>508</v>
      </c>
      <c r="C509" t="s">
        <v>121</v>
      </c>
      <c r="D509" t="s">
        <v>95</v>
      </c>
      <c r="E509">
        <v>2018</v>
      </c>
      <c r="F509" t="s">
        <v>45</v>
      </c>
      <c r="G509" t="s">
        <v>21</v>
      </c>
      <c r="H509" t="s">
        <v>15</v>
      </c>
      <c r="I509" t="s">
        <v>46</v>
      </c>
      <c r="J509">
        <v>7.8912472999999997E-2</v>
      </c>
      <c r="K509"/>
      <c r="L509" s="1">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s="1">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s="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s="1">
        <v>182.42920000000001</v>
      </c>
      <c r="M512">
        <v>4.7</v>
      </c>
    </row>
    <row r="513" spans="1:13" x14ac:dyDescent="0.3">
      <c r="A513" t="s">
        <v>17</v>
      </c>
      <c r="B513">
        <v>512</v>
      </c>
      <c r="C513" t="s">
        <v>495</v>
      </c>
      <c r="D513" t="s">
        <v>67</v>
      </c>
      <c r="E513">
        <v>2012</v>
      </c>
      <c r="F513" t="s">
        <v>13</v>
      </c>
      <c r="G513" t="s">
        <v>14</v>
      </c>
      <c r="H513" t="s">
        <v>15</v>
      </c>
      <c r="I513" t="s">
        <v>16</v>
      </c>
      <c r="J513">
        <v>0</v>
      </c>
      <c r="K513">
        <v>6.03</v>
      </c>
      <c r="L513" s="1">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s="1">
        <v>159.8578</v>
      </c>
      <c r="M514">
        <v>4.7</v>
      </c>
    </row>
    <row r="515" spans="1:13" x14ac:dyDescent="0.3">
      <c r="A515" t="s">
        <v>17</v>
      </c>
      <c r="B515">
        <v>514</v>
      </c>
      <c r="C515" t="s">
        <v>497</v>
      </c>
      <c r="D515" t="s">
        <v>19</v>
      </c>
      <c r="E515">
        <v>2012</v>
      </c>
      <c r="F515" t="s">
        <v>13</v>
      </c>
      <c r="G515" t="s">
        <v>14</v>
      </c>
      <c r="H515" t="s">
        <v>15</v>
      </c>
      <c r="I515" t="s">
        <v>16</v>
      </c>
      <c r="J515">
        <v>1.2657494E-2</v>
      </c>
      <c r="K515">
        <v>16.5</v>
      </c>
      <c r="L515" s="1">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s="1">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s="1">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s="1">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s="1">
        <v>120.34399999999999</v>
      </c>
      <c r="M519">
        <v>4.7</v>
      </c>
    </row>
    <row r="520" spans="1:13" x14ac:dyDescent="0.3">
      <c r="A520" t="s">
        <v>10</v>
      </c>
      <c r="B520">
        <v>519</v>
      </c>
      <c r="C520" t="s">
        <v>500</v>
      </c>
      <c r="D520" t="s">
        <v>24</v>
      </c>
      <c r="E520">
        <v>2012</v>
      </c>
      <c r="F520" t="s">
        <v>13</v>
      </c>
      <c r="G520" t="s">
        <v>14</v>
      </c>
      <c r="H520" t="s">
        <v>15</v>
      </c>
      <c r="I520" t="s">
        <v>16</v>
      </c>
      <c r="J520">
        <v>0</v>
      </c>
      <c r="K520">
        <v>9.5</v>
      </c>
      <c r="L520" s="1">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s="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s="1">
        <v>253.17240000000001</v>
      </c>
      <c r="M522">
        <v>4.7</v>
      </c>
    </row>
    <row r="523" spans="1:13" x14ac:dyDescent="0.3">
      <c r="A523" t="s">
        <v>17</v>
      </c>
      <c r="B523">
        <v>522</v>
      </c>
      <c r="C523" t="s">
        <v>502</v>
      </c>
      <c r="D523" t="s">
        <v>67</v>
      </c>
      <c r="E523">
        <v>2018</v>
      </c>
      <c r="F523" t="s">
        <v>138</v>
      </c>
      <c r="G523" t="s">
        <v>14</v>
      </c>
      <c r="H523" t="s">
        <v>26</v>
      </c>
      <c r="I523" t="s">
        <v>40</v>
      </c>
      <c r="J523">
        <v>0.17021367600000001</v>
      </c>
      <c r="K523"/>
      <c r="L523" s="1">
        <v>89.585599999999999</v>
      </c>
      <c r="M523">
        <v>4.7</v>
      </c>
    </row>
    <row r="524" spans="1:13" x14ac:dyDescent="0.3">
      <c r="A524" t="s">
        <v>17</v>
      </c>
      <c r="B524">
        <v>523</v>
      </c>
      <c r="C524" t="s">
        <v>219</v>
      </c>
      <c r="D524" t="s">
        <v>48</v>
      </c>
      <c r="E524">
        <v>2018</v>
      </c>
      <c r="F524" t="s">
        <v>138</v>
      </c>
      <c r="G524" t="s">
        <v>14</v>
      </c>
      <c r="H524" t="s">
        <v>26</v>
      </c>
      <c r="I524" t="s">
        <v>40</v>
      </c>
      <c r="J524">
        <v>5.8092550999999999E-2</v>
      </c>
      <c r="K524"/>
      <c r="L524" s="1">
        <v>172.04220000000001</v>
      </c>
      <c r="M524">
        <v>4.7</v>
      </c>
    </row>
    <row r="525" spans="1:13" x14ac:dyDescent="0.3">
      <c r="A525" t="s">
        <v>10</v>
      </c>
      <c r="B525">
        <v>524</v>
      </c>
      <c r="C525" t="s">
        <v>503</v>
      </c>
      <c r="D525" t="s">
        <v>24</v>
      </c>
      <c r="E525">
        <v>2018</v>
      </c>
      <c r="F525" t="s">
        <v>138</v>
      </c>
      <c r="G525" t="s">
        <v>14</v>
      </c>
      <c r="H525" t="s">
        <v>26</v>
      </c>
      <c r="I525" t="s">
        <v>40</v>
      </c>
      <c r="J525">
        <v>7.6868664000000003E-2</v>
      </c>
      <c r="K525"/>
      <c r="L525" s="1">
        <v>62.119399999999999</v>
      </c>
      <c r="M525">
        <v>4.7</v>
      </c>
    </row>
    <row r="526" spans="1:13" x14ac:dyDescent="0.3">
      <c r="A526" t="s">
        <v>10</v>
      </c>
      <c r="B526">
        <v>525</v>
      </c>
      <c r="C526" t="s">
        <v>504</v>
      </c>
      <c r="D526" t="s">
        <v>48</v>
      </c>
      <c r="E526">
        <v>2018</v>
      </c>
      <c r="F526" t="s">
        <v>138</v>
      </c>
      <c r="G526" t="s">
        <v>14</v>
      </c>
      <c r="H526" t="s">
        <v>26</v>
      </c>
      <c r="I526" t="s">
        <v>40</v>
      </c>
      <c r="J526">
        <v>0.127599399</v>
      </c>
      <c r="K526"/>
      <c r="L526" s="1">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s="1">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s="1">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s="1">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s="1">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s="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s="1">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s="1">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s="1">
        <v>108.72280000000001</v>
      </c>
      <c r="M534">
        <v>4.7</v>
      </c>
    </row>
    <row r="535" spans="1:13" x14ac:dyDescent="0.3">
      <c r="A535" t="s">
        <v>10</v>
      </c>
      <c r="B535">
        <v>534</v>
      </c>
      <c r="C535" t="s">
        <v>512</v>
      </c>
      <c r="D535" t="s">
        <v>67</v>
      </c>
      <c r="E535">
        <v>2016</v>
      </c>
      <c r="F535" t="s">
        <v>25</v>
      </c>
      <c r="G535" t="s">
        <v>14</v>
      </c>
      <c r="H535" t="s">
        <v>26</v>
      </c>
      <c r="I535" t="s">
        <v>16</v>
      </c>
      <c r="J535">
        <v>0</v>
      </c>
      <c r="K535">
        <v>11.5</v>
      </c>
      <c r="L535" s="1">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s="1">
        <v>101.399</v>
      </c>
      <c r="M536">
        <v>4.7</v>
      </c>
    </row>
    <row r="537" spans="1:13" x14ac:dyDescent="0.3">
      <c r="A537" t="s">
        <v>10</v>
      </c>
      <c r="B537">
        <v>536</v>
      </c>
      <c r="C537" t="s">
        <v>316</v>
      </c>
      <c r="D537" t="s">
        <v>54</v>
      </c>
      <c r="E537">
        <v>2016</v>
      </c>
      <c r="F537" t="s">
        <v>25</v>
      </c>
      <c r="G537" t="s">
        <v>14</v>
      </c>
      <c r="H537" t="s">
        <v>26</v>
      </c>
      <c r="I537" t="s">
        <v>16</v>
      </c>
      <c r="J537">
        <v>2.4541277E-2</v>
      </c>
      <c r="K537">
        <v>5.63</v>
      </c>
      <c r="L537" s="1">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s="1">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s="1">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s="1">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s="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s="1">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s="1">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s="1">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s="1">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s="1">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s="1">
        <v>157.96299999999999</v>
      </c>
      <c r="M547">
        <v>4.7</v>
      </c>
    </row>
    <row r="548" spans="1:13" x14ac:dyDescent="0.3">
      <c r="A548" t="s">
        <v>10</v>
      </c>
      <c r="B548">
        <v>547</v>
      </c>
      <c r="C548" t="s">
        <v>520</v>
      </c>
      <c r="D548" t="s">
        <v>32</v>
      </c>
      <c r="E548">
        <v>2020</v>
      </c>
      <c r="F548" t="s">
        <v>37</v>
      </c>
      <c r="G548" t="s">
        <v>34</v>
      </c>
      <c r="H548" t="s">
        <v>15</v>
      </c>
      <c r="I548" t="s">
        <v>16</v>
      </c>
      <c r="J548">
        <v>0</v>
      </c>
      <c r="K548">
        <v>8.27</v>
      </c>
      <c r="L548" s="1">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s="1">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s="1">
        <v>254.8014</v>
      </c>
      <c r="M550">
        <v>4.7</v>
      </c>
    </row>
    <row r="551" spans="1:13" x14ac:dyDescent="0.3">
      <c r="A551" t="s">
        <v>17</v>
      </c>
      <c r="B551">
        <v>550</v>
      </c>
      <c r="C551" t="s">
        <v>44</v>
      </c>
      <c r="D551" t="s">
        <v>28</v>
      </c>
      <c r="E551">
        <v>2017</v>
      </c>
      <c r="F551" t="s">
        <v>50</v>
      </c>
      <c r="G551" t="s">
        <v>34</v>
      </c>
      <c r="H551" t="s">
        <v>26</v>
      </c>
      <c r="I551" t="s">
        <v>16</v>
      </c>
      <c r="J551">
        <v>0.10203648</v>
      </c>
      <c r="K551">
        <v>16.7</v>
      </c>
      <c r="L551" s="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s="1">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s="1">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s="1">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s="1">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s="1">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s="1">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s="1">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s="1">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s="1">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s="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s="1">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s="1">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s="1">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s="1">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s="1">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s="1">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s="1">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s="1">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s="1">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s="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s="1">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s="1">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s="1">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s="1">
        <v>159.792</v>
      </c>
      <c r="M575">
        <v>4.7</v>
      </c>
    </row>
    <row r="576" spans="1:13" x14ac:dyDescent="0.3">
      <c r="A576" t="s">
        <v>10</v>
      </c>
      <c r="B576">
        <v>575</v>
      </c>
      <c r="C576" t="s">
        <v>423</v>
      </c>
      <c r="D576" t="s">
        <v>28</v>
      </c>
      <c r="E576">
        <v>2022</v>
      </c>
      <c r="F576" t="s">
        <v>20</v>
      </c>
      <c r="G576" t="s">
        <v>21</v>
      </c>
      <c r="H576" t="s">
        <v>15</v>
      </c>
      <c r="I576" t="s">
        <v>22</v>
      </c>
      <c r="J576">
        <v>0.103142373</v>
      </c>
      <c r="K576">
        <v>20.25</v>
      </c>
      <c r="L576" s="1">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s="1">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s="1">
        <v>226.2062</v>
      </c>
      <c r="M578">
        <v>4.7</v>
      </c>
    </row>
    <row r="579" spans="1:13" x14ac:dyDescent="0.3">
      <c r="A579" t="s">
        <v>17</v>
      </c>
      <c r="B579">
        <v>578</v>
      </c>
      <c r="C579" t="s">
        <v>472</v>
      </c>
      <c r="D579" t="s">
        <v>95</v>
      </c>
      <c r="E579">
        <v>2018</v>
      </c>
      <c r="F579" t="s">
        <v>45</v>
      </c>
      <c r="G579" t="s">
        <v>21</v>
      </c>
      <c r="H579" t="s">
        <v>15</v>
      </c>
      <c r="I579" t="s">
        <v>46</v>
      </c>
      <c r="J579">
        <v>0.10080442000000001</v>
      </c>
      <c r="K579"/>
      <c r="L579" s="1">
        <v>45.474400000000003</v>
      </c>
      <c r="M579">
        <v>4.7</v>
      </c>
    </row>
    <row r="580" spans="1:13" x14ac:dyDescent="0.3">
      <c r="A580" t="s">
        <v>17</v>
      </c>
      <c r="B580">
        <v>579</v>
      </c>
      <c r="C580" t="s">
        <v>537</v>
      </c>
      <c r="D580" t="s">
        <v>28</v>
      </c>
      <c r="E580">
        <v>2018</v>
      </c>
      <c r="F580" t="s">
        <v>45</v>
      </c>
      <c r="G580" t="s">
        <v>21</v>
      </c>
      <c r="H580" t="s">
        <v>15</v>
      </c>
      <c r="I580" t="s">
        <v>46</v>
      </c>
      <c r="J580">
        <v>8.2152451000000001E-2</v>
      </c>
      <c r="K580"/>
      <c r="L580" s="1">
        <v>179.90020000000001</v>
      </c>
      <c r="M580">
        <v>4.7</v>
      </c>
    </row>
    <row r="581" spans="1:13" x14ac:dyDescent="0.3">
      <c r="A581" t="s">
        <v>17</v>
      </c>
      <c r="B581">
        <v>580</v>
      </c>
      <c r="C581" t="s">
        <v>538</v>
      </c>
      <c r="D581" t="s">
        <v>19</v>
      </c>
      <c r="E581">
        <v>2018</v>
      </c>
      <c r="F581" t="s">
        <v>45</v>
      </c>
      <c r="G581" t="s">
        <v>21</v>
      </c>
      <c r="H581" t="s">
        <v>15</v>
      </c>
      <c r="I581" t="s">
        <v>46</v>
      </c>
      <c r="J581">
        <v>3.0347404000000001E-2</v>
      </c>
      <c r="K581"/>
      <c r="L581" s="1">
        <v>192.5162</v>
      </c>
      <c r="M581">
        <v>4.7</v>
      </c>
    </row>
    <row r="582" spans="1:13" x14ac:dyDescent="0.3">
      <c r="A582" t="s">
        <v>17</v>
      </c>
      <c r="B582">
        <v>581</v>
      </c>
      <c r="C582" t="s">
        <v>539</v>
      </c>
      <c r="D582" t="s">
        <v>42</v>
      </c>
      <c r="E582">
        <v>2018</v>
      </c>
      <c r="F582" t="s">
        <v>45</v>
      </c>
      <c r="G582" t="s">
        <v>21</v>
      </c>
      <c r="H582" t="s">
        <v>15</v>
      </c>
      <c r="I582" t="s">
        <v>46</v>
      </c>
      <c r="J582">
        <v>4.1091215E-2</v>
      </c>
      <c r="K582"/>
      <c r="L582" s="1">
        <v>89.551400000000001</v>
      </c>
      <c r="M582">
        <v>4.7</v>
      </c>
    </row>
    <row r="583" spans="1:13" x14ac:dyDescent="0.3">
      <c r="A583" t="s">
        <v>17</v>
      </c>
      <c r="B583">
        <v>582</v>
      </c>
      <c r="C583" t="s">
        <v>540</v>
      </c>
      <c r="D583" t="s">
        <v>32</v>
      </c>
      <c r="E583">
        <v>2018</v>
      </c>
      <c r="F583" t="s">
        <v>45</v>
      </c>
      <c r="G583" t="s">
        <v>21</v>
      </c>
      <c r="H583" t="s">
        <v>15</v>
      </c>
      <c r="I583" t="s">
        <v>46</v>
      </c>
      <c r="J583">
        <v>4.8841794000000001E-2</v>
      </c>
      <c r="K583"/>
      <c r="L583" s="1">
        <v>64.716800000000006</v>
      </c>
      <c r="M583">
        <v>4.7</v>
      </c>
    </row>
    <row r="584" spans="1:13" x14ac:dyDescent="0.3">
      <c r="A584" t="s">
        <v>17</v>
      </c>
      <c r="B584">
        <v>583</v>
      </c>
      <c r="C584" t="s">
        <v>541</v>
      </c>
      <c r="D584" t="s">
        <v>32</v>
      </c>
      <c r="E584">
        <v>2018</v>
      </c>
      <c r="F584" t="s">
        <v>45</v>
      </c>
      <c r="G584" t="s">
        <v>21</v>
      </c>
      <c r="H584" t="s">
        <v>15</v>
      </c>
      <c r="I584" t="s">
        <v>46</v>
      </c>
      <c r="J584">
        <v>0.17423237699999999</v>
      </c>
      <c r="K584"/>
      <c r="L584" s="1">
        <v>146.61019999999999</v>
      </c>
      <c r="M584">
        <v>4.7</v>
      </c>
    </row>
    <row r="585" spans="1:13" x14ac:dyDescent="0.3">
      <c r="A585" t="s">
        <v>17</v>
      </c>
      <c r="B585">
        <v>584</v>
      </c>
      <c r="C585" t="s">
        <v>542</v>
      </c>
      <c r="D585" t="s">
        <v>95</v>
      </c>
      <c r="E585">
        <v>2018</v>
      </c>
      <c r="F585" t="s">
        <v>138</v>
      </c>
      <c r="G585" t="s">
        <v>14</v>
      </c>
      <c r="H585" t="s">
        <v>26</v>
      </c>
      <c r="I585" t="s">
        <v>40</v>
      </c>
      <c r="J585">
        <v>0.113720344</v>
      </c>
      <c r="K585"/>
      <c r="L585" s="1">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K586"/>
      <c r="L586" s="1">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s="1">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s="1">
        <v>232.53</v>
      </c>
      <c r="M588">
        <v>4.5999999999999996</v>
      </c>
    </row>
    <row r="589" spans="1:13" x14ac:dyDescent="0.3">
      <c r="A589" t="s">
        <v>17</v>
      </c>
      <c r="B589">
        <v>588</v>
      </c>
      <c r="C589" t="s">
        <v>378</v>
      </c>
      <c r="D589" t="s">
        <v>42</v>
      </c>
      <c r="E589">
        <v>2018</v>
      </c>
      <c r="F589" t="s">
        <v>138</v>
      </c>
      <c r="G589" t="s">
        <v>14</v>
      </c>
      <c r="H589" t="s">
        <v>26</v>
      </c>
      <c r="I589" t="s">
        <v>40</v>
      </c>
      <c r="J589">
        <v>0.16017883199999999</v>
      </c>
      <c r="K589"/>
      <c r="L589" s="1">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s="1">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s="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s="1">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s="1">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s="1">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s="1">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s="1">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s="1">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s="1">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s="1">
        <v>144.61019999999999</v>
      </c>
      <c r="M599">
        <v>4.5999999999999996</v>
      </c>
    </row>
    <row r="600" spans="1:13" x14ac:dyDescent="0.3">
      <c r="A600" t="s">
        <v>10</v>
      </c>
      <c r="B600">
        <v>599</v>
      </c>
      <c r="C600" t="s">
        <v>554</v>
      </c>
      <c r="D600" t="s">
        <v>67</v>
      </c>
      <c r="E600">
        <v>2018</v>
      </c>
      <c r="F600" t="s">
        <v>138</v>
      </c>
      <c r="G600" t="s">
        <v>14</v>
      </c>
      <c r="H600" t="s">
        <v>26</v>
      </c>
      <c r="I600" t="s">
        <v>40</v>
      </c>
      <c r="J600">
        <v>0.187443314</v>
      </c>
      <c r="K600"/>
      <c r="L600" s="1">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K601"/>
      <c r="L601" s="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s="1">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s="1">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s="1">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s="1">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s="1">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s="1">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s="1">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s="1">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s="1">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s="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s="1">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s="1">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s="1">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s="1">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s="1">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s="1">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s="1">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s="1">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s="1">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s="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s="1">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s="1">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s="1">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s="1">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s="1">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s="1">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s="1">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s="1">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s="1">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s="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s="1">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s="1">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s="1">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s="1">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s="1">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s="1">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s="1">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s="1">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s="1">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s="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s="1">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s="1">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s="1">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s="1">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s="1">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s="1">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s="1">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s="1">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s="1">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s="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s="1">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s="1">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s="1">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s="1">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s="1">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s="1">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s="1">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s="1">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s="1">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s="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s="1">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s="1">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s="1">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s="1">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s="1">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s="1">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s="1">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s="1">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s="1">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s="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s="1">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s="1">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s="1">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s="1">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s="1">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K677"/>
      <c r="L677" s="1">
        <v>93.609399999999994</v>
      </c>
      <c r="M677">
        <v>4.5999999999999996</v>
      </c>
    </row>
    <row r="678" spans="1:13" x14ac:dyDescent="0.3">
      <c r="A678" t="s">
        <v>17</v>
      </c>
      <c r="B678">
        <v>677</v>
      </c>
      <c r="C678" t="s">
        <v>383</v>
      </c>
      <c r="D678" t="s">
        <v>54</v>
      </c>
      <c r="E678">
        <v>2018</v>
      </c>
      <c r="F678" t="s">
        <v>45</v>
      </c>
      <c r="G678" t="s">
        <v>21</v>
      </c>
      <c r="H678" t="s">
        <v>15</v>
      </c>
      <c r="I678" t="s">
        <v>46</v>
      </c>
      <c r="J678">
        <v>0</v>
      </c>
      <c r="K678"/>
      <c r="L678" s="1">
        <v>109.1938</v>
      </c>
      <c r="M678">
        <v>4.5999999999999996</v>
      </c>
    </row>
    <row r="679" spans="1:13" x14ac:dyDescent="0.3">
      <c r="A679" t="s">
        <v>17</v>
      </c>
      <c r="B679">
        <v>678</v>
      </c>
      <c r="C679" t="s">
        <v>577</v>
      </c>
      <c r="D679" t="s">
        <v>54</v>
      </c>
      <c r="E679">
        <v>2018</v>
      </c>
      <c r="F679" t="s">
        <v>45</v>
      </c>
      <c r="G679" t="s">
        <v>21</v>
      </c>
      <c r="H679" t="s">
        <v>15</v>
      </c>
      <c r="I679" t="s">
        <v>46</v>
      </c>
      <c r="J679">
        <v>0.155541973</v>
      </c>
      <c r="K679"/>
      <c r="L679" s="1">
        <v>159.7578</v>
      </c>
      <c r="M679">
        <v>4.5999999999999996</v>
      </c>
    </row>
    <row r="680" spans="1:13" x14ac:dyDescent="0.3">
      <c r="A680" t="s">
        <v>17</v>
      </c>
      <c r="B680">
        <v>679</v>
      </c>
      <c r="C680" t="s">
        <v>605</v>
      </c>
      <c r="D680" t="s">
        <v>48</v>
      </c>
      <c r="E680">
        <v>2018</v>
      </c>
      <c r="F680" t="s">
        <v>45</v>
      </c>
      <c r="G680" t="s">
        <v>21</v>
      </c>
      <c r="H680" t="s">
        <v>15</v>
      </c>
      <c r="I680" t="s">
        <v>46</v>
      </c>
      <c r="J680">
        <v>0.141129263</v>
      </c>
      <c r="K680"/>
      <c r="L680" s="1">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K681"/>
      <c r="L681" s="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K682"/>
      <c r="L682" s="1">
        <v>178.43180000000001</v>
      </c>
      <c r="M682">
        <v>4.5999999999999996</v>
      </c>
    </row>
    <row r="683" spans="1:13" x14ac:dyDescent="0.3">
      <c r="A683" t="s">
        <v>10</v>
      </c>
      <c r="B683">
        <v>682</v>
      </c>
      <c r="C683" t="s">
        <v>607</v>
      </c>
      <c r="D683" t="s">
        <v>54</v>
      </c>
      <c r="E683">
        <v>2018</v>
      </c>
      <c r="F683" t="s">
        <v>45</v>
      </c>
      <c r="G683" t="s">
        <v>21</v>
      </c>
      <c r="H683" t="s">
        <v>15</v>
      </c>
      <c r="I683" t="s">
        <v>46</v>
      </c>
      <c r="J683">
        <v>3.6731658E-2</v>
      </c>
      <c r="K683"/>
      <c r="L683" s="1">
        <v>177.23699999999999</v>
      </c>
      <c r="M683">
        <v>4.5999999999999996</v>
      </c>
    </row>
    <row r="684" spans="1:13" x14ac:dyDescent="0.3">
      <c r="A684" t="s">
        <v>10</v>
      </c>
      <c r="B684">
        <v>683</v>
      </c>
      <c r="C684" t="s">
        <v>608</v>
      </c>
      <c r="D684" t="s">
        <v>54</v>
      </c>
      <c r="E684">
        <v>2018</v>
      </c>
      <c r="F684" t="s">
        <v>45</v>
      </c>
      <c r="G684" t="s">
        <v>21</v>
      </c>
      <c r="H684" t="s">
        <v>15</v>
      </c>
      <c r="I684" t="s">
        <v>46</v>
      </c>
      <c r="J684">
        <v>0</v>
      </c>
      <c r="K684"/>
      <c r="L684" s="1">
        <v>182.0608</v>
      </c>
      <c r="M684">
        <v>4.5999999999999996</v>
      </c>
    </row>
    <row r="685" spans="1:13" x14ac:dyDescent="0.3">
      <c r="A685" t="s">
        <v>35</v>
      </c>
      <c r="B685">
        <v>684</v>
      </c>
      <c r="C685" t="s">
        <v>171</v>
      </c>
      <c r="D685" t="s">
        <v>19</v>
      </c>
      <c r="E685">
        <v>2018</v>
      </c>
      <c r="F685" t="s">
        <v>45</v>
      </c>
      <c r="G685" t="s">
        <v>21</v>
      </c>
      <c r="H685" t="s">
        <v>15</v>
      </c>
      <c r="I685" t="s">
        <v>46</v>
      </c>
      <c r="J685">
        <v>1.8813776000000001E-2</v>
      </c>
      <c r="K685"/>
      <c r="L685" s="1">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K686"/>
      <c r="L686" s="1">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s="1">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s="1">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s="1">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s="1">
        <v>132.5626</v>
      </c>
      <c r="M690">
        <v>4.5</v>
      </c>
    </row>
    <row r="691" spans="1:13" x14ac:dyDescent="0.3">
      <c r="A691" t="s">
        <v>17</v>
      </c>
      <c r="B691">
        <v>690</v>
      </c>
      <c r="C691" t="s">
        <v>613</v>
      </c>
      <c r="D691" t="s">
        <v>57</v>
      </c>
      <c r="E691">
        <v>2011</v>
      </c>
      <c r="F691" t="s">
        <v>39</v>
      </c>
      <c r="G691" t="s">
        <v>21</v>
      </c>
      <c r="H691" t="s">
        <v>26</v>
      </c>
      <c r="I691" t="s">
        <v>40</v>
      </c>
      <c r="J691">
        <v>0</v>
      </c>
      <c r="K691">
        <v>17.850000000000001</v>
      </c>
      <c r="L691" s="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s="1">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s="1">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s="1">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s="1">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s="1">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s="1">
        <v>216.7166</v>
      </c>
      <c r="M697">
        <v>4.5</v>
      </c>
    </row>
    <row r="698" spans="1:13" x14ac:dyDescent="0.3">
      <c r="A698" t="s">
        <v>10</v>
      </c>
      <c r="B698">
        <v>697</v>
      </c>
      <c r="C698" t="s">
        <v>252</v>
      </c>
      <c r="D698" t="s">
        <v>28</v>
      </c>
      <c r="E698">
        <v>2018</v>
      </c>
      <c r="F698" t="s">
        <v>45</v>
      </c>
      <c r="G698" t="s">
        <v>21</v>
      </c>
      <c r="H698" t="s">
        <v>15</v>
      </c>
      <c r="I698" t="s">
        <v>46</v>
      </c>
      <c r="J698">
        <v>1.1953902000000001E-2</v>
      </c>
      <c r="K698"/>
      <c r="L698" s="1">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s="1">
        <v>175.43700000000001</v>
      </c>
      <c r="M699">
        <v>4.5</v>
      </c>
    </row>
    <row r="700" spans="1:13" x14ac:dyDescent="0.3">
      <c r="A700" t="s">
        <v>17</v>
      </c>
      <c r="B700">
        <v>699</v>
      </c>
      <c r="C700" t="s">
        <v>619</v>
      </c>
      <c r="D700" t="s">
        <v>42</v>
      </c>
      <c r="E700">
        <v>2018</v>
      </c>
      <c r="F700" t="s">
        <v>45</v>
      </c>
      <c r="G700" t="s">
        <v>21</v>
      </c>
      <c r="H700" t="s">
        <v>15</v>
      </c>
      <c r="I700" t="s">
        <v>46</v>
      </c>
      <c r="J700">
        <v>5.9776237000000003E-2</v>
      </c>
      <c r="K700"/>
      <c r="L700" s="1">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s="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s="1">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s="1">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s="1">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s="1">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s="1">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s="1">
        <v>120.9072</v>
      </c>
      <c r="M707">
        <v>4.5</v>
      </c>
    </row>
    <row r="708" spans="1:13" x14ac:dyDescent="0.3">
      <c r="A708" t="s">
        <v>17</v>
      </c>
      <c r="B708">
        <v>707</v>
      </c>
      <c r="C708" t="s">
        <v>625</v>
      </c>
      <c r="D708" t="s">
        <v>48</v>
      </c>
      <c r="E708">
        <v>2020</v>
      </c>
      <c r="F708" t="s">
        <v>37</v>
      </c>
      <c r="G708" t="s">
        <v>34</v>
      </c>
      <c r="H708" t="s">
        <v>15</v>
      </c>
      <c r="I708" t="s">
        <v>16</v>
      </c>
      <c r="J708">
        <v>3.0108283E-2</v>
      </c>
      <c r="K708">
        <v>17.7</v>
      </c>
      <c r="L708" s="1">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s="1">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s="1">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s="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s="1">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s="1">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s="1">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s="1">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s="1">
        <v>122.973</v>
      </c>
      <c r="M716">
        <v>4.5</v>
      </c>
    </row>
    <row r="717" spans="1:13" x14ac:dyDescent="0.3">
      <c r="A717" t="s">
        <v>17</v>
      </c>
      <c r="B717">
        <v>716</v>
      </c>
      <c r="C717" t="s">
        <v>632</v>
      </c>
      <c r="D717" t="s">
        <v>95</v>
      </c>
      <c r="E717">
        <v>2012</v>
      </c>
      <c r="F717" t="s">
        <v>13</v>
      </c>
      <c r="G717" t="s">
        <v>14</v>
      </c>
      <c r="H717" t="s">
        <v>15</v>
      </c>
      <c r="I717" t="s">
        <v>16</v>
      </c>
      <c r="J717">
        <v>0.119547387</v>
      </c>
      <c r="K717">
        <v>20.5</v>
      </c>
      <c r="L717" s="1">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s="1">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s="1">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s="1">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s="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s="1">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s="1">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s="1">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s="1">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s="1">
        <v>174.7054</v>
      </c>
      <c r="M726">
        <v>4.5</v>
      </c>
    </row>
    <row r="727" spans="1:13" x14ac:dyDescent="0.3">
      <c r="A727" t="s">
        <v>17</v>
      </c>
      <c r="B727">
        <v>726</v>
      </c>
      <c r="C727" t="s">
        <v>435</v>
      </c>
      <c r="D727" t="s">
        <v>42</v>
      </c>
      <c r="E727">
        <v>2012</v>
      </c>
      <c r="F727" t="s">
        <v>13</v>
      </c>
      <c r="G727" t="s">
        <v>14</v>
      </c>
      <c r="H727" t="s">
        <v>15</v>
      </c>
      <c r="I727" t="s">
        <v>16</v>
      </c>
      <c r="J727">
        <v>1.6135764E-2</v>
      </c>
      <c r="K727">
        <v>8.51</v>
      </c>
      <c r="L727" s="1">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s="1">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s="1">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s="1">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s="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s="1">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s="1">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s="1">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s="1">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s="1">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s="1">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s="1">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s="1">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s="1">
        <v>223.5772</v>
      </c>
      <c r="M740">
        <v>4.5</v>
      </c>
    </row>
    <row r="741" spans="1:13" x14ac:dyDescent="0.3">
      <c r="A741" t="s">
        <v>10</v>
      </c>
      <c r="B741">
        <v>740</v>
      </c>
      <c r="C741" t="s">
        <v>648</v>
      </c>
      <c r="D741" t="s">
        <v>24</v>
      </c>
      <c r="E741">
        <v>2012</v>
      </c>
      <c r="F741" t="s">
        <v>13</v>
      </c>
      <c r="G741" t="s">
        <v>14</v>
      </c>
      <c r="H741" t="s">
        <v>15</v>
      </c>
      <c r="I741" t="s">
        <v>16</v>
      </c>
      <c r="J741">
        <v>0.127066966</v>
      </c>
      <c r="K741">
        <v>8.35</v>
      </c>
      <c r="L741" s="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s="1">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s="1">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s="1">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s="1">
        <v>93.412000000000006</v>
      </c>
      <c r="M745">
        <v>4.5</v>
      </c>
    </row>
    <row r="746" spans="1:13" x14ac:dyDescent="0.3">
      <c r="A746" t="s">
        <v>17</v>
      </c>
      <c r="B746">
        <v>745</v>
      </c>
      <c r="C746" t="s">
        <v>516</v>
      </c>
      <c r="D746" t="s">
        <v>67</v>
      </c>
      <c r="E746">
        <v>2018</v>
      </c>
      <c r="F746" t="s">
        <v>138</v>
      </c>
      <c r="G746" t="s">
        <v>14</v>
      </c>
      <c r="H746" t="s">
        <v>26</v>
      </c>
      <c r="I746" t="s">
        <v>40</v>
      </c>
      <c r="J746">
        <v>9.9442328999999996E-2</v>
      </c>
      <c r="K746"/>
      <c r="L746" s="1">
        <v>233.16419999999999</v>
      </c>
      <c r="M746">
        <v>4.5</v>
      </c>
    </row>
    <row r="747" spans="1:13" x14ac:dyDescent="0.3">
      <c r="A747" t="s">
        <v>17</v>
      </c>
      <c r="B747">
        <v>746</v>
      </c>
      <c r="C747" t="s">
        <v>650</v>
      </c>
      <c r="D747" t="s">
        <v>12</v>
      </c>
      <c r="E747">
        <v>2018</v>
      </c>
      <c r="F747" t="s">
        <v>138</v>
      </c>
      <c r="G747" t="s">
        <v>14</v>
      </c>
      <c r="H747" t="s">
        <v>26</v>
      </c>
      <c r="I747" t="s">
        <v>40</v>
      </c>
      <c r="J747">
        <v>0.22628438100000001</v>
      </c>
      <c r="K747"/>
      <c r="L747" s="1">
        <v>163.221</v>
      </c>
      <c r="M747">
        <v>4.5</v>
      </c>
    </row>
    <row r="748" spans="1:13" x14ac:dyDescent="0.3">
      <c r="A748" t="s">
        <v>17</v>
      </c>
      <c r="B748">
        <v>747</v>
      </c>
      <c r="C748" t="s">
        <v>413</v>
      </c>
      <c r="D748" t="s">
        <v>42</v>
      </c>
      <c r="E748">
        <v>2018</v>
      </c>
      <c r="F748" t="s">
        <v>138</v>
      </c>
      <c r="G748" t="s">
        <v>14</v>
      </c>
      <c r="H748" t="s">
        <v>26</v>
      </c>
      <c r="I748" t="s">
        <v>40</v>
      </c>
      <c r="J748">
        <v>0.12998368799999999</v>
      </c>
      <c r="K748"/>
      <c r="L748" s="1">
        <v>93.046199999999999</v>
      </c>
      <c r="M748">
        <v>4.5</v>
      </c>
    </row>
    <row r="749" spans="1:13" x14ac:dyDescent="0.3">
      <c r="A749" t="s">
        <v>17</v>
      </c>
      <c r="B749">
        <v>748</v>
      </c>
      <c r="C749" t="s">
        <v>651</v>
      </c>
      <c r="D749" t="s">
        <v>42</v>
      </c>
      <c r="E749">
        <v>2018</v>
      </c>
      <c r="F749" t="s">
        <v>138</v>
      </c>
      <c r="G749" t="s">
        <v>14</v>
      </c>
      <c r="H749" t="s">
        <v>26</v>
      </c>
      <c r="I749" t="s">
        <v>40</v>
      </c>
      <c r="J749">
        <v>2.7532258E-2</v>
      </c>
      <c r="K749"/>
      <c r="L749" s="1">
        <v>185.0608</v>
      </c>
      <c r="M749">
        <v>4.5</v>
      </c>
    </row>
    <row r="750" spans="1:13" x14ac:dyDescent="0.3">
      <c r="A750" t="s">
        <v>17</v>
      </c>
      <c r="B750">
        <v>749</v>
      </c>
      <c r="C750" t="s">
        <v>652</v>
      </c>
      <c r="D750" t="s">
        <v>42</v>
      </c>
      <c r="E750">
        <v>2018</v>
      </c>
      <c r="F750" t="s">
        <v>138</v>
      </c>
      <c r="G750" t="s">
        <v>14</v>
      </c>
      <c r="H750" t="s">
        <v>26</v>
      </c>
      <c r="I750" t="s">
        <v>40</v>
      </c>
      <c r="J750">
        <v>7.3229342000000003E-2</v>
      </c>
      <c r="K750"/>
      <c r="L750" s="1">
        <v>254.10140000000001</v>
      </c>
      <c r="M750">
        <v>4.5</v>
      </c>
    </row>
    <row r="751" spans="1:13" x14ac:dyDescent="0.3">
      <c r="A751" t="s">
        <v>17</v>
      </c>
      <c r="B751">
        <v>750</v>
      </c>
      <c r="C751" t="s">
        <v>653</v>
      </c>
      <c r="D751" t="s">
        <v>42</v>
      </c>
      <c r="E751">
        <v>2018</v>
      </c>
      <c r="F751" t="s">
        <v>138</v>
      </c>
      <c r="G751" t="s">
        <v>14</v>
      </c>
      <c r="H751" t="s">
        <v>26</v>
      </c>
      <c r="I751" t="s">
        <v>40</v>
      </c>
      <c r="J751">
        <v>0.116750407</v>
      </c>
      <c r="K751"/>
      <c r="L751" s="1">
        <v>195.24780000000001</v>
      </c>
      <c r="M751">
        <v>4.5</v>
      </c>
    </row>
    <row r="752" spans="1:13" x14ac:dyDescent="0.3">
      <c r="A752" t="s">
        <v>17</v>
      </c>
      <c r="B752">
        <v>751</v>
      </c>
      <c r="C752" t="s">
        <v>654</v>
      </c>
      <c r="D752" t="s">
        <v>42</v>
      </c>
      <c r="E752">
        <v>2018</v>
      </c>
      <c r="F752" t="s">
        <v>138</v>
      </c>
      <c r="G752" t="s">
        <v>14</v>
      </c>
      <c r="H752" t="s">
        <v>26</v>
      </c>
      <c r="I752" t="s">
        <v>40</v>
      </c>
      <c r="J752">
        <v>0.14595153299999999</v>
      </c>
      <c r="K752"/>
      <c r="L752" s="1">
        <v>160.95519999999999</v>
      </c>
      <c r="M752">
        <v>4.5</v>
      </c>
    </row>
    <row r="753" spans="1:13" x14ac:dyDescent="0.3">
      <c r="A753" t="s">
        <v>17</v>
      </c>
      <c r="B753">
        <v>752</v>
      </c>
      <c r="C753" t="s">
        <v>468</v>
      </c>
      <c r="D753" t="s">
        <v>64</v>
      </c>
      <c r="E753">
        <v>2018</v>
      </c>
      <c r="F753" t="s">
        <v>138</v>
      </c>
      <c r="G753" t="s">
        <v>14</v>
      </c>
      <c r="H753" t="s">
        <v>26</v>
      </c>
      <c r="I753" t="s">
        <v>40</v>
      </c>
      <c r="J753">
        <v>3.5997636E-2</v>
      </c>
      <c r="K753"/>
      <c r="L753" s="1">
        <v>78.661799999999999</v>
      </c>
      <c r="M753">
        <v>4.5</v>
      </c>
    </row>
    <row r="754" spans="1:13" x14ac:dyDescent="0.3">
      <c r="A754" t="s">
        <v>17</v>
      </c>
      <c r="B754">
        <v>753</v>
      </c>
      <c r="C754" t="s">
        <v>469</v>
      </c>
      <c r="D754" t="s">
        <v>48</v>
      </c>
      <c r="E754">
        <v>2018</v>
      </c>
      <c r="F754" t="s">
        <v>138</v>
      </c>
      <c r="G754" t="s">
        <v>14</v>
      </c>
      <c r="H754" t="s">
        <v>26</v>
      </c>
      <c r="I754" t="s">
        <v>40</v>
      </c>
      <c r="J754">
        <v>0.164006137</v>
      </c>
      <c r="K754"/>
      <c r="L754" s="1">
        <v>113.2834</v>
      </c>
      <c r="M754">
        <v>4.5</v>
      </c>
    </row>
    <row r="755" spans="1:13" x14ac:dyDescent="0.3">
      <c r="A755" t="s">
        <v>17</v>
      </c>
      <c r="B755">
        <v>754</v>
      </c>
      <c r="C755" t="s">
        <v>655</v>
      </c>
      <c r="D755" t="s">
        <v>48</v>
      </c>
      <c r="E755">
        <v>2018</v>
      </c>
      <c r="F755" t="s">
        <v>138</v>
      </c>
      <c r="G755" t="s">
        <v>14</v>
      </c>
      <c r="H755" t="s">
        <v>26</v>
      </c>
      <c r="I755" t="s">
        <v>40</v>
      </c>
      <c r="J755">
        <v>4.6903970000000003E-2</v>
      </c>
      <c r="K755"/>
      <c r="L755" s="1">
        <v>110.657</v>
      </c>
      <c r="M755">
        <v>4.5</v>
      </c>
    </row>
    <row r="756" spans="1:13" x14ac:dyDescent="0.3">
      <c r="A756" t="s">
        <v>17</v>
      </c>
      <c r="B756">
        <v>755</v>
      </c>
      <c r="C756" t="s">
        <v>656</v>
      </c>
      <c r="D756" t="s">
        <v>48</v>
      </c>
      <c r="E756">
        <v>2018</v>
      </c>
      <c r="F756" t="s">
        <v>138</v>
      </c>
      <c r="G756" t="s">
        <v>14</v>
      </c>
      <c r="H756" t="s">
        <v>26</v>
      </c>
      <c r="I756" t="s">
        <v>40</v>
      </c>
      <c r="J756">
        <v>0.18111405899999999</v>
      </c>
      <c r="K756"/>
      <c r="L756" s="1">
        <v>141.64699999999999</v>
      </c>
      <c r="M756">
        <v>4.5</v>
      </c>
    </row>
    <row r="757" spans="1:13" x14ac:dyDescent="0.3">
      <c r="A757" t="s">
        <v>17</v>
      </c>
      <c r="B757">
        <v>756</v>
      </c>
      <c r="C757" t="s">
        <v>657</v>
      </c>
      <c r="D757" t="s">
        <v>32</v>
      </c>
      <c r="E757">
        <v>2018</v>
      </c>
      <c r="F757" t="s">
        <v>138</v>
      </c>
      <c r="G757" t="s">
        <v>14</v>
      </c>
      <c r="H757" t="s">
        <v>26</v>
      </c>
      <c r="I757" t="s">
        <v>40</v>
      </c>
      <c r="J757">
        <v>0.17141731599999999</v>
      </c>
      <c r="K757"/>
      <c r="L757" s="1">
        <v>173.07380000000001</v>
      </c>
      <c r="M757">
        <v>4.5</v>
      </c>
    </row>
    <row r="758" spans="1:13" x14ac:dyDescent="0.3">
      <c r="A758" t="s">
        <v>10</v>
      </c>
      <c r="B758">
        <v>757</v>
      </c>
      <c r="C758" t="s">
        <v>319</v>
      </c>
      <c r="D758" t="s">
        <v>48</v>
      </c>
      <c r="E758">
        <v>2018</v>
      </c>
      <c r="F758" t="s">
        <v>138</v>
      </c>
      <c r="G758" t="s">
        <v>14</v>
      </c>
      <c r="H758" t="s">
        <v>26</v>
      </c>
      <c r="I758" t="s">
        <v>40</v>
      </c>
      <c r="J758">
        <v>0.184359831</v>
      </c>
      <c r="K758"/>
      <c r="L758" s="1">
        <v>172.6764</v>
      </c>
      <c r="M758">
        <v>4.5</v>
      </c>
    </row>
    <row r="759" spans="1:13" x14ac:dyDescent="0.3">
      <c r="A759" t="s">
        <v>10</v>
      </c>
      <c r="B759">
        <v>758</v>
      </c>
      <c r="C759" t="s">
        <v>658</v>
      </c>
      <c r="D759" t="s">
        <v>48</v>
      </c>
      <c r="E759">
        <v>2018</v>
      </c>
      <c r="F759" t="s">
        <v>138</v>
      </c>
      <c r="G759" t="s">
        <v>14</v>
      </c>
      <c r="H759" t="s">
        <v>26</v>
      </c>
      <c r="I759" t="s">
        <v>40</v>
      </c>
      <c r="J759">
        <v>0.11744283799999999</v>
      </c>
      <c r="K759"/>
      <c r="L759" s="1">
        <v>257.73039999999997</v>
      </c>
      <c r="M759">
        <v>4.5</v>
      </c>
    </row>
    <row r="760" spans="1:13" x14ac:dyDescent="0.3">
      <c r="A760" t="s">
        <v>10</v>
      </c>
      <c r="B760">
        <v>759</v>
      </c>
      <c r="C760" t="s">
        <v>659</v>
      </c>
      <c r="D760" t="s">
        <v>48</v>
      </c>
      <c r="E760">
        <v>2018</v>
      </c>
      <c r="F760" t="s">
        <v>138</v>
      </c>
      <c r="G760" t="s">
        <v>14</v>
      </c>
      <c r="H760" t="s">
        <v>26</v>
      </c>
      <c r="I760" t="s">
        <v>40</v>
      </c>
      <c r="J760">
        <v>2.1471456E-2</v>
      </c>
      <c r="K760"/>
      <c r="L760" s="1">
        <v>131.0284</v>
      </c>
      <c r="M760">
        <v>4.5</v>
      </c>
    </row>
    <row r="761" spans="1:13" x14ac:dyDescent="0.3">
      <c r="A761" t="s">
        <v>10</v>
      </c>
      <c r="B761">
        <v>760</v>
      </c>
      <c r="C761" t="s">
        <v>660</v>
      </c>
      <c r="D761" t="s">
        <v>48</v>
      </c>
      <c r="E761">
        <v>2018</v>
      </c>
      <c r="F761" t="s">
        <v>138</v>
      </c>
      <c r="G761" t="s">
        <v>14</v>
      </c>
      <c r="H761" t="s">
        <v>26</v>
      </c>
      <c r="I761" t="s">
        <v>40</v>
      </c>
      <c r="J761">
        <v>0.17018662800000001</v>
      </c>
      <c r="K761"/>
      <c r="L761" s="1">
        <v>159.02619999999999</v>
      </c>
      <c r="M761">
        <v>4.5</v>
      </c>
    </row>
    <row r="762" spans="1:13" x14ac:dyDescent="0.3">
      <c r="A762" t="s">
        <v>35</v>
      </c>
      <c r="B762">
        <v>761</v>
      </c>
      <c r="C762" t="s">
        <v>418</v>
      </c>
      <c r="D762" t="s">
        <v>48</v>
      </c>
      <c r="E762">
        <v>2018</v>
      </c>
      <c r="F762" t="s">
        <v>138</v>
      </c>
      <c r="G762" t="s">
        <v>14</v>
      </c>
      <c r="H762" t="s">
        <v>26</v>
      </c>
      <c r="I762" t="s">
        <v>40</v>
      </c>
      <c r="J762">
        <v>5.9336763000000001E-2</v>
      </c>
      <c r="K762"/>
      <c r="L762" s="1">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s="1">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s="1">
        <v>165.05</v>
      </c>
      <c r="M764">
        <v>4.5</v>
      </c>
    </row>
    <row r="765" spans="1:13" x14ac:dyDescent="0.3">
      <c r="A765" t="s">
        <v>17</v>
      </c>
      <c r="B765">
        <v>764</v>
      </c>
      <c r="C765" t="s">
        <v>662</v>
      </c>
      <c r="D765" t="s">
        <v>57</v>
      </c>
      <c r="E765">
        <v>2016</v>
      </c>
      <c r="F765" t="s">
        <v>25</v>
      </c>
      <c r="G765" t="s">
        <v>14</v>
      </c>
      <c r="H765" t="s">
        <v>26</v>
      </c>
      <c r="I765" t="s">
        <v>16</v>
      </c>
      <c r="J765">
        <v>0.12888573</v>
      </c>
      <c r="K765">
        <v>16.75</v>
      </c>
      <c r="L765" s="1">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s="1">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s="1">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s="1">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s="1">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s="1">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s="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s="1">
        <v>175.37119999999999</v>
      </c>
      <c r="M772">
        <v>4.5</v>
      </c>
    </row>
    <row r="773" spans="1:13" x14ac:dyDescent="0.3">
      <c r="A773" t="s">
        <v>17</v>
      </c>
      <c r="B773">
        <v>772</v>
      </c>
      <c r="C773" t="s">
        <v>668</v>
      </c>
      <c r="D773" t="s">
        <v>12</v>
      </c>
      <c r="E773">
        <v>2016</v>
      </c>
      <c r="F773" t="s">
        <v>25</v>
      </c>
      <c r="G773" t="s">
        <v>14</v>
      </c>
      <c r="H773" t="s">
        <v>26</v>
      </c>
      <c r="I773" t="s">
        <v>16</v>
      </c>
      <c r="J773">
        <v>0</v>
      </c>
      <c r="K773">
        <v>16.75</v>
      </c>
      <c r="L773" s="1">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s="1">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s="1">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s="1">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s="1">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s="1">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s="1">
        <v>52.7956</v>
      </c>
      <c r="M779">
        <v>4.5</v>
      </c>
    </row>
    <row r="780" spans="1:13" x14ac:dyDescent="0.3">
      <c r="A780" t="s">
        <v>17</v>
      </c>
      <c r="B780">
        <v>779</v>
      </c>
      <c r="C780" t="s">
        <v>673</v>
      </c>
      <c r="D780" t="s">
        <v>42</v>
      </c>
      <c r="E780">
        <v>2016</v>
      </c>
      <c r="F780" t="s">
        <v>25</v>
      </c>
      <c r="G780" t="s">
        <v>14</v>
      </c>
      <c r="H780" t="s">
        <v>26</v>
      </c>
      <c r="I780" t="s">
        <v>16</v>
      </c>
      <c r="J780">
        <v>2.4651269E-2</v>
      </c>
      <c r="K780">
        <v>13.15</v>
      </c>
      <c r="L780" s="1">
        <v>179.5686</v>
      </c>
      <c r="M780">
        <v>4.5</v>
      </c>
    </row>
    <row r="781" spans="1:13" x14ac:dyDescent="0.3">
      <c r="A781" t="s">
        <v>17</v>
      </c>
      <c r="B781">
        <v>780</v>
      </c>
      <c r="C781" t="s">
        <v>413</v>
      </c>
      <c r="D781" t="s">
        <v>42</v>
      </c>
      <c r="E781">
        <v>2016</v>
      </c>
      <c r="F781" t="s">
        <v>25</v>
      </c>
      <c r="G781" t="s">
        <v>14</v>
      </c>
      <c r="H781" t="s">
        <v>26</v>
      </c>
      <c r="I781" t="s">
        <v>16</v>
      </c>
      <c r="J781">
        <v>0</v>
      </c>
      <c r="K781">
        <v>20.2</v>
      </c>
      <c r="L781" s="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s="1">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s="1">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s="1">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s="1">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s="1">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s="1">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s="1">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s="1">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s="1">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s="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s="1">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s="1">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s="1">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s="1">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s="1">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s="1">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s="1">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s="1">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s="1">
        <v>190.81620000000001</v>
      </c>
      <c r="M800">
        <v>4.5</v>
      </c>
    </row>
    <row r="801" spans="1:13" x14ac:dyDescent="0.3">
      <c r="A801" t="s">
        <v>17</v>
      </c>
      <c r="B801">
        <v>800</v>
      </c>
      <c r="C801" t="s">
        <v>670</v>
      </c>
      <c r="D801" t="s">
        <v>19</v>
      </c>
      <c r="E801">
        <v>2015</v>
      </c>
      <c r="F801" t="s">
        <v>33</v>
      </c>
      <c r="G801" t="s">
        <v>34</v>
      </c>
      <c r="H801" t="s">
        <v>26</v>
      </c>
      <c r="I801" t="s">
        <v>16</v>
      </c>
      <c r="J801">
        <v>0</v>
      </c>
      <c r="K801">
        <v>18.2</v>
      </c>
      <c r="L801" s="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s="1">
        <v>232.83</v>
      </c>
      <c r="M802">
        <v>4.5</v>
      </c>
    </row>
    <row r="803" spans="1:13" x14ac:dyDescent="0.3">
      <c r="A803" t="s">
        <v>17</v>
      </c>
      <c r="B803">
        <v>802</v>
      </c>
      <c r="C803" t="s">
        <v>687</v>
      </c>
      <c r="D803" t="s">
        <v>42</v>
      </c>
      <c r="E803">
        <v>2015</v>
      </c>
      <c r="F803" t="s">
        <v>33</v>
      </c>
      <c r="G803" t="s">
        <v>34</v>
      </c>
      <c r="H803" t="s">
        <v>26</v>
      </c>
      <c r="I803" t="s">
        <v>16</v>
      </c>
      <c r="J803">
        <v>3.3176087E-2</v>
      </c>
      <c r="K803">
        <v>11.1</v>
      </c>
      <c r="L803" s="1">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s="1">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s="1">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s="1">
        <v>75.832800000000006</v>
      </c>
      <c r="M806">
        <v>4.5</v>
      </c>
    </row>
    <row r="807" spans="1:13" x14ac:dyDescent="0.3">
      <c r="A807" t="s">
        <v>17</v>
      </c>
      <c r="B807">
        <v>806</v>
      </c>
      <c r="C807" t="s">
        <v>449</v>
      </c>
      <c r="D807" t="s">
        <v>32</v>
      </c>
      <c r="E807">
        <v>2015</v>
      </c>
      <c r="F807" t="s">
        <v>33</v>
      </c>
      <c r="G807" t="s">
        <v>34</v>
      </c>
      <c r="H807" t="s">
        <v>26</v>
      </c>
      <c r="I807" t="s">
        <v>16</v>
      </c>
      <c r="J807">
        <v>0</v>
      </c>
      <c r="K807">
        <v>4.59</v>
      </c>
      <c r="L807" s="1">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s="1">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s="1">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s="1">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s="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s="1">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s="1">
        <v>160.3578</v>
      </c>
      <c r="M813">
        <v>4.5</v>
      </c>
    </row>
    <row r="814" spans="1:13" x14ac:dyDescent="0.3">
      <c r="A814" t="s">
        <v>17</v>
      </c>
      <c r="B814">
        <v>813</v>
      </c>
      <c r="C814" t="s">
        <v>689</v>
      </c>
      <c r="D814" t="s">
        <v>12</v>
      </c>
      <c r="E814">
        <v>2020</v>
      </c>
      <c r="F814" t="s">
        <v>37</v>
      </c>
      <c r="G814" t="s">
        <v>34</v>
      </c>
      <c r="H814" t="s">
        <v>26</v>
      </c>
      <c r="I814" t="s">
        <v>16</v>
      </c>
      <c r="J814">
        <v>0</v>
      </c>
      <c r="K814">
        <v>6.6550000000000002</v>
      </c>
      <c r="L814" s="1">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s="1">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s="1">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s="1">
        <v>56.461399999999998</v>
      </c>
      <c r="M817">
        <v>4.5</v>
      </c>
    </row>
    <row r="818" spans="1:13" x14ac:dyDescent="0.3">
      <c r="A818" t="s">
        <v>17</v>
      </c>
      <c r="B818">
        <v>817</v>
      </c>
      <c r="C818" t="s">
        <v>693</v>
      </c>
      <c r="D818" t="s">
        <v>42</v>
      </c>
      <c r="E818">
        <v>2020</v>
      </c>
      <c r="F818" t="s">
        <v>37</v>
      </c>
      <c r="G818" t="s">
        <v>34</v>
      </c>
      <c r="H818" t="s">
        <v>30</v>
      </c>
      <c r="I818" t="s">
        <v>16</v>
      </c>
      <c r="J818">
        <v>0</v>
      </c>
      <c r="K818">
        <v>16.25</v>
      </c>
      <c r="L818" s="1">
        <v>115.2176</v>
      </c>
      <c r="M818">
        <v>4.5</v>
      </c>
    </row>
    <row r="819" spans="1:13" x14ac:dyDescent="0.3">
      <c r="A819" t="s">
        <v>17</v>
      </c>
      <c r="B819">
        <v>818</v>
      </c>
      <c r="C819" t="s">
        <v>694</v>
      </c>
      <c r="D819" t="s">
        <v>42</v>
      </c>
      <c r="E819">
        <v>2020</v>
      </c>
      <c r="F819" t="s">
        <v>37</v>
      </c>
      <c r="G819" t="s">
        <v>34</v>
      </c>
      <c r="H819" t="s">
        <v>30</v>
      </c>
      <c r="I819" t="s">
        <v>16</v>
      </c>
      <c r="J819">
        <v>1.4355033E-2</v>
      </c>
      <c r="K819">
        <v>19.5</v>
      </c>
      <c r="L819" s="1">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s="1">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s="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s="1">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s="1">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s="1">
        <v>173.108</v>
      </c>
      <c r="M824">
        <v>4.5</v>
      </c>
    </row>
    <row r="825" spans="1:13" x14ac:dyDescent="0.3">
      <c r="A825" t="s">
        <v>10</v>
      </c>
      <c r="B825">
        <v>824</v>
      </c>
      <c r="C825" t="s">
        <v>11</v>
      </c>
      <c r="D825" t="s">
        <v>12</v>
      </c>
      <c r="E825">
        <v>2015</v>
      </c>
      <c r="F825" t="s">
        <v>33</v>
      </c>
      <c r="G825" t="s">
        <v>34</v>
      </c>
      <c r="H825" t="s">
        <v>30</v>
      </c>
      <c r="I825" t="s">
        <v>16</v>
      </c>
      <c r="J825">
        <v>0.100060762</v>
      </c>
      <c r="K825">
        <v>15.1</v>
      </c>
      <c r="L825" s="1">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s="1">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s="1">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s="1">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s="1">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s="1">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s="1">
        <v>76.2012</v>
      </c>
      <c r="M831">
        <v>4.5</v>
      </c>
    </row>
    <row r="832" spans="1:13" x14ac:dyDescent="0.3">
      <c r="A832" t="s">
        <v>10</v>
      </c>
      <c r="B832">
        <v>831</v>
      </c>
      <c r="C832" t="s">
        <v>258</v>
      </c>
      <c r="D832" t="s">
        <v>54</v>
      </c>
      <c r="E832">
        <v>2020</v>
      </c>
      <c r="F832" t="s">
        <v>37</v>
      </c>
      <c r="G832" t="s">
        <v>34</v>
      </c>
      <c r="H832" t="s">
        <v>15</v>
      </c>
      <c r="I832" t="s">
        <v>16</v>
      </c>
      <c r="J832">
        <v>0</v>
      </c>
      <c r="K832">
        <v>5.15</v>
      </c>
      <c r="L832" s="1">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s="1">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s="1">
        <v>204.99799999999999</v>
      </c>
      <c r="M834">
        <v>4.5</v>
      </c>
    </row>
    <row r="835" spans="1:13" x14ac:dyDescent="0.3">
      <c r="A835" t="s">
        <v>10</v>
      </c>
      <c r="B835">
        <v>834</v>
      </c>
      <c r="C835" t="s">
        <v>365</v>
      </c>
      <c r="D835" t="s">
        <v>48</v>
      </c>
      <c r="E835">
        <v>2020</v>
      </c>
      <c r="F835" t="s">
        <v>37</v>
      </c>
      <c r="G835" t="s">
        <v>34</v>
      </c>
      <c r="H835" t="s">
        <v>15</v>
      </c>
      <c r="I835" t="s">
        <v>16</v>
      </c>
      <c r="J835">
        <v>0</v>
      </c>
      <c r="K835">
        <v>9.6</v>
      </c>
      <c r="L835" s="1">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s="1">
        <v>154.46299999999999</v>
      </c>
      <c r="M836">
        <v>4.5</v>
      </c>
    </row>
    <row r="837" spans="1:13" x14ac:dyDescent="0.3">
      <c r="A837" t="s">
        <v>35</v>
      </c>
      <c r="B837">
        <v>836</v>
      </c>
      <c r="C837" t="s">
        <v>704</v>
      </c>
      <c r="D837" t="s">
        <v>57</v>
      </c>
      <c r="E837">
        <v>2015</v>
      </c>
      <c r="F837" t="s">
        <v>33</v>
      </c>
      <c r="G837" t="s">
        <v>34</v>
      </c>
      <c r="H837" t="s">
        <v>15</v>
      </c>
      <c r="I837" t="s">
        <v>16</v>
      </c>
      <c r="J837">
        <v>0</v>
      </c>
      <c r="K837">
        <v>6.44</v>
      </c>
      <c r="L837" s="1">
        <v>99.87</v>
      </c>
      <c r="M837">
        <v>4.5</v>
      </c>
    </row>
    <row r="838" spans="1:13" x14ac:dyDescent="0.3">
      <c r="A838" t="s">
        <v>17</v>
      </c>
      <c r="B838">
        <v>837</v>
      </c>
      <c r="C838" t="s">
        <v>96</v>
      </c>
      <c r="D838" t="s">
        <v>28</v>
      </c>
      <c r="E838">
        <v>2017</v>
      </c>
      <c r="F838" t="s">
        <v>50</v>
      </c>
      <c r="G838" t="s">
        <v>34</v>
      </c>
      <c r="H838" t="s">
        <v>26</v>
      </c>
      <c r="I838" t="s">
        <v>16</v>
      </c>
      <c r="J838">
        <v>2.5822314999999998E-2</v>
      </c>
      <c r="K838">
        <v>10</v>
      </c>
      <c r="L838" s="1">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s="1">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s="1">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s="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s="1">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s="1">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s="1">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s="1">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s="1">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s="1">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s="1">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s="1">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s="1">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s="1">
        <v>61.916800000000002</v>
      </c>
      <c r="M851">
        <v>4.5</v>
      </c>
    </row>
    <row r="852" spans="1:13" x14ac:dyDescent="0.3">
      <c r="A852" t="s">
        <v>10</v>
      </c>
      <c r="B852">
        <v>851</v>
      </c>
      <c r="C852" t="s">
        <v>710</v>
      </c>
      <c r="D852" t="s">
        <v>95</v>
      </c>
      <c r="E852">
        <v>2017</v>
      </c>
      <c r="F852" t="s">
        <v>50</v>
      </c>
      <c r="G852" t="s">
        <v>34</v>
      </c>
      <c r="H852" t="s">
        <v>26</v>
      </c>
      <c r="I852" t="s">
        <v>16</v>
      </c>
      <c r="J852">
        <v>0</v>
      </c>
      <c r="K852">
        <v>11.85</v>
      </c>
      <c r="L852" s="1">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s="1">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s="1">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s="1">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s="1">
        <v>170.2106</v>
      </c>
      <c r="M856">
        <v>4.5</v>
      </c>
    </row>
    <row r="857" spans="1:13" x14ac:dyDescent="0.3">
      <c r="A857" t="s">
        <v>10</v>
      </c>
      <c r="B857">
        <v>856</v>
      </c>
      <c r="C857" t="s">
        <v>259</v>
      </c>
      <c r="D857" t="s">
        <v>48</v>
      </c>
      <c r="E857">
        <v>2017</v>
      </c>
      <c r="F857" t="s">
        <v>50</v>
      </c>
      <c r="G857" t="s">
        <v>34</v>
      </c>
      <c r="H857" t="s">
        <v>26</v>
      </c>
      <c r="I857" t="s">
        <v>16</v>
      </c>
      <c r="J857">
        <v>2.9006239E-2</v>
      </c>
      <c r="K857">
        <v>6.61</v>
      </c>
      <c r="L857" s="1">
        <v>186.0898</v>
      </c>
      <c r="M857">
        <v>4.5</v>
      </c>
    </row>
    <row r="858" spans="1:13" x14ac:dyDescent="0.3">
      <c r="A858" t="s">
        <v>10</v>
      </c>
      <c r="B858">
        <v>857</v>
      </c>
      <c r="C858" t="s">
        <v>713</v>
      </c>
      <c r="D858" t="s">
        <v>48</v>
      </c>
      <c r="E858">
        <v>2017</v>
      </c>
      <c r="F858" t="s">
        <v>50</v>
      </c>
      <c r="G858" t="s">
        <v>34</v>
      </c>
      <c r="H858" t="s">
        <v>26</v>
      </c>
      <c r="I858" t="s">
        <v>16</v>
      </c>
      <c r="J858">
        <v>0.14460413</v>
      </c>
      <c r="K858">
        <v>7.21</v>
      </c>
      <c r="L858" s="1">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s="1">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s="1">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s="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s="1">
        <v>124.873</v>
      </c>
      <c r="M862">
        <v>4.5</v>
      </c>
    </row>
    <row r="863" spans="1:13" x14ac:dyDescent="0.3">
      <c r="A863" t="s">
        <v>17</v>
      </c>
      <c r="B863">
        <v>862</v>
      </c>
      <c r="C863" t="s">
        <v>716</v>
      </c>
      <c r="D863" t="s">
        <v>24</v>
      </c>
      <c r="E863">
        <v>2011</v>
      </c>
      <c r="F863" t="s">
        <v>39</v>
      </c>
      <c r="G863" t="s">
        <v>21</v>
      </c>
      <c r="H863" t="s">
        <v>15</v>
      </c>
      <c r="I863" t="s">
        <v>40</v>
      </c>
      <c r="J863">
        <v>6.1381589E-2</v>
      </c>
      <c r="K863">
        <v>13.15</v>
      </c>
      <c r="L863" s="1">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s="1">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s="1">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s="1">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s="1">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s="1">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s="1">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s="1">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s="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s="1">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s="1">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s="1">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s="1">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s="1">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s="1">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s="1">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s="1">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s="1">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s="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s="1">
        <v>51.3324</v>
      </c>
      <c r="M882">
        <v>4.5</v>
      </c>
    </row>
    <row r="883" spans="1:13" x14ac:dyDescent="0.3">
      <c r="A883" t="s">
        <v>17</v>
      </c>
      <c r="B883">
        <v>882</v>
      </c>
      <c r="C883" t="s">
        <v>478</v>
      </c>
      <c r="D883" t="s">
        <v>95</v>
      </c>
      <c r="E883">
        <v>2014</v>
      </c>
      <c r="F883" t="s">
        <v>29</v>
      </c>
      <c r="G883" t="s">
        <v>21</v>
      </c>
      <c r="H883" t="s">
        <v>30</v>
      </c>
      <c r="I883" t="s">
        <v>16</v>
      </c>
      <c r="J883">
        <v>0</v>
      </c>
      <c r="K883">
        <v>13.5</v>
      </c>
      <c r="L883" s="1">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s="1">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s="1">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s="1">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s="1">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s="1">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s="1">
        <v>112.2518</v>
      </c>
      <c r="M889">
        <v>4.5</v>
      </c>
    </row>
    <row r="890" spans="1:13" x14ac:dyDescent="0.3">
      <c r="A890" t="s">
        <v>17</v>
      </c>
      <c r="B890">
        <v>889</v>
      </c>
      <c r="C890" t="s">
        <v>75</v>
      </c>
      <c r="D890" t="s">
        <v>42</v>
      </c>
      <c r="E890">
        <v>2014</v>
      </c>
      <c r="F890" t="s">
        <v>29</v>
      </c>
      <c r="G890" t="s">
        <v>21</v>
      </c>
      <c r="H890" t="s">
        <v>30</v>
      </c>
      <c r="I890" t="s">
        <v>16</v>
      </c>
      <c r="J890">
        <v>0</v>
      </c>
      <c r="K890">
        <v>5.82</v>
      </c>
      <c r="L890" s="1">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s="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s="1">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s="1">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s="1">
        <v>163.3526</v>
      </c>
      <c r="M894">
        <v>4.5</v>
      </c>
    </row>
    <row r="895" spans="1:13" x14ac:dyDescent="0.3">
      <c r="A895" t="s">
        <v>10</v>
      </c>
      <c r="B895">
        <v>894</v>
      </c>
      <c r="C895" t="s">
        <v>731</v>
      </c>
      <c r="D895" t="s">
        <v>28</v>
      </c>
      <c r="E895">
        <v>2014</v>
      </c>
      <c r="F895" t="s">
        <v>29</v>
      </c>
      <c r="G895" t="s">
        <v>21</v>
      </c>
      <c r="H895" t="s">
        <v>30</v>
      </c>
      <c r="I895" t="s">
        <v>16</v>
      </c>
      <c r="J895">
        <v>2.076385E-2</v>
      </c>
      <c r="K895">
        <v>7.27</v>
      </c>
      <c r="L895" s="1">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s="1">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s="1">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s="1">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s="1">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s="1">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s="1">
        <v>259.73039999999997</v>
      </c>
      <c r="M901">
        <v>4.5</v>
      </c>
    </row>
    <row r="902" spans="1:13" x14ac:dyDescent="0.3">
      <c r="A902" t="s">
        <v>17</v>
      </c>
      <c r="B902">
        <v>901</v>
      </c>
      <c r="C902" t="s">
        <v>736</v>
      </c>
      <c r="D902" t="s">
        <v>159</v>
      </c>
      <c r="E902">
        <v>2022</v>
      </c>
      <c r="F902" t="s">
        <v>20</v>
      </c>
      <c r="G902" t="s">
        <v>21</v>
      </c>
      <c r="H902" t="s">
        <v>15</v>
      </c>
      <c r="I902" t="s">
        <v>22</v>
      </c>
      <c r="J902">
        <v>0</v>
      </c>
      <c r="K902">
        <v>12.85</v>
      </c>
      <c r="L902" s="1">
        <v>253.00399999999999</v>
      </c>
      <c r="M902">
        <v>4.5</v>
      </c>
    </row>
    <row r="903" spans="1:13" x14ac:dyDescent="0.3">
      <c r="A903" t="s">
        <v>17</v>
      </c>
      <c r="B903">
        <v>902</v>
      </c>
      <c r="C903" t="s">
        <v>737</v>
      </c>
      <c r="D903" t="s">
        <v>95</v>
      </c>
      <c r="E903">
        <v>2022</v>
      </c>
      <c r="F903" t="s">
        <v>20</v>
      </c>
      <c r="G903" t="s">
        <v>21</v>
      </c>
      <c r="H903" t="s">
        <v>15</v>
      </c>
      <c r="I903" t="s">
        <v>22</v>
      </c>
      <c r="J903">
        <v>0</v>
      </c>
      <c r="K903">
        <v>15.6</v>
      </c>
      <c r="L903" s="1">
        <v>111.8544</v>
      </c>
      <c r="M903">
        <v>4.5</v>
      </c>
    </row>
    <row r="904" spans="1:13" x14ac:dyDescent="0.3">
      <c r="A904" t="s">
        <v>17</v>
      </c>
      <c r="B904">
        <v>903</v>
      </c>
      <c r="C904" t="s">
        <v>291</v>
      </c>
      <c r="D904" t="s">
        <v>28</v>
      </c>
      <c r="E904">
        <v>2022</v>
      </c>
      <c r="F904" t="s">
        <v>20</v>
      </c>
      <c r="G904" t="s">
        <v>21</v>
      </c>
      <c r="H904" t="s">
        <v>15</v>
      </c>
      <c r="I904" t="s">
        <v>22</v>
      </c>
      <c r="J904">
        <v>0.170500183</v>
      </c>
      <c r="K904">
        <v>20.7</v>
      </c>
      <c r="L904" s="1">
        <v>184.1266</v>
      </c>
      <c r="M904">
        <v>4.5</v>
      </c>
    </row>
    <row r="905" spans="1:13" x14ac:dyDescent="0.3">
      <c r="A905" t="s">
        <v>17</v>
      </c>
      <c r="B905">
        <v>904</v>
      </c>
      <c r="C905" t="s">
        <v>738</v>
      </c>
      <c r="D905" t="s">
        <v>24</v>
      </c>
      <c r="E905">
        <v>2022</v>
      </c>
      <c r="F905" t="s">
        <v>20</v>
      </c>
      <c r="G905" t="s">
        <v>21</v>
      </c>
      <c r="H905" t="s">
        <v>15</v>
      </c>
      <c r="I905" t="s">
        <v>22</v>
      </c>
      <c r="J905">
        <v>0.119871307</v>
      </c>
      <c r="K905">
        <v>17</v>
      </c>
      <c r="L905" s="1">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s="1">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s="1">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s="1">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s="1">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s="1">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s="1">
        <v>112.6176</v>
      </c>
      <c r="M911">
        <v>4.5</v>
      </c>
    </row>
    <row r="912" spans="1:13" x14ac:dyDescent="0.3">
      <c r="A912" t="s">
        <v>17</v>
      </c>
      <c r="B912">
        <v>911</v>
      </c>
      <c r="C912" t="s">
        <v>743</v>
      </c>
      <c r="D912" t="s">
        <v>32</v>
      </c>
      <c r="E912">
        <v>2022</v>
      </c>
      <c r="F912" t="s">
        <v>20</v>
      </c>
      <c r="G912" t="s">
        <v>21</v>
      </c>
      <c r="H912" t="s">
        <v>15</v>
      </c>
      <c r="I912" t="s">
        <v>22</v>
      </c>
      <c r="J912">
        <v>0.151180862</v>
      </c>
      <c r="K912">
        <v>14.6</v>
      </c>
      <c r="L912" s="1">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s="1">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s="1">
        <v>128.36779999999999</v>
      </c>
      <c r="M914">
        <v>4.5</v>
      </c>
    </row>
    <row r="915" spans="1:13" x14ac:dyDescent="0.3">
      <c r="A915" t="s">
        <v>10</v>
      </c>
      <c r="B915">
        <v>914</v>
      </c>
      <c r="C915" t="s">
        <v>600</v>
      </c>
      <c r="D915" t="s">
        <v>48</v>
      </c>
      <c r="E915">
        <v>2022</v>
      </c>
      <c r="F915" t="s">
        <v>20</v>
      </c>
      <c r="G915" t="s">
        <v>21</v>
      </c>
      <c r="H915" t="s">
        <v>15</v>
      </c>
      <c r="I915" t="s">
        <v>22</v>
      </c>
      <c r="J915">
        <v>0</v>
      </c>
      <c r="K915">
        <v>15.25</v>
      </c>
      <c r="L915" s="1">
        <v>179.76599999999999</v>
      </c>
      <c r="M915">
        <v>4.5</v>
      </c>
    </row>
    <row r="916" spans="1:13" x14ac:dyDescent="0.3">
      <c r="A916" t="s">
        <v>17</v>
      </c>
      <c r="B916">
        <v>915</v>
      </c>
      <c r="C916" t="s">
        <v>745</v>
      </c>
      <c r="D916" t="s">
        <v>57</v>
      </c>
      <c r="E916">
        <v>2018</v>
      </c>
      <c r="F916" t="s">
        <v>45</v>
      </c>
      <c r="G916" t="s">
        <v>21</v>
      </c>
      <c r="H916" t="s">
        <v>15</v>
      </c>
      <c r="I916" t="s">
        <v>46</v>
      </c>
      <c r="J916">
        <v>6.8765925000000006E-2</v>
      </c>
      <c r="K916"/>
      <c r="L916" s="1">
        <v>216.91659999999999</v>
      </c>
      <c r="M916">
        <v>4.5</v>
      </c>
    </row>
    <row r="917" spans="1:13" x14ac:dyDescent="0.3">
      <c r="A917" t="s">
        <v>17</v>
      </c>
      <c r="B917">
        <v>916</v>
      </c>
      <c r="C917" t="s">
        <v>746</v>
      </c>
      <c r="D917" t="s">
        <v>57</v>
      </c>
      <c r="E917">
        <v>2018</v>
      </c>
      <c r="F917" t="s">
        <v>45</v>
      </c>
      <c r="G917" t="s">
        <v>21</v>
      </c>
      <c r="H917" t="s">
        <v>15</v>
      </c>
      <c r="I917" t="s">
        <v>46</v>
      </c>
      <c r="J917">
        <v>8.1391459999999999E-2</v>
      </c>
      <c r="K917"/>
      <c r="L917" s="1">
        <v>177.83699999999999</v>
      </c>
      <c r="M917">
        <v>4.5</v>
      </c>
    </row>
    <row r="918" spans="1:13" x14ac:dyDescent="0.3">
      <c r="A918" t="s">
        <v>17</v>
      </c>
      <c r="B918">
        <v>917</v>
      </c>
      <c r="C918" t="s">
        <v>747</v>
      </c>
      <c r="D918" t="s">
        <v>67</v>
      </c>
      <c r="E918">
        <v>2018</v>
      </c>
      <c r="F918" t="s">
        <v>45</v>
      </c>
      <c r="G918" t="s">
        <v>21</v>
      </c>
      <c r="H918" t="s">
        <v>15</v>
      </c>
      <c r="I918" t="s">
        <v>46</v>
      </c>
      <c r="J918">
        <v>5.5121891999999999E-2</v>
      </c>
      <c r="K918"/>
      <c r="L918" s="1">
        <v>196.77680000000001</v>
      </c>
      <c r="M918">
        <v>4.5</v>
      </c>
    </row>
    <row r="919" spans="1:13" x14ac:dyDescent="0.3">
      <c r="A919" t="s">
        <v>17</v>
      </c>
      <c r="B919">
        <v>918</v>
      </c>
      <c r="C919" t="s">
        <v>227</v>
      </c>
      <c r="D919" t="s">
        <v>67</v>
      </c>
      <c r="E919">
        <v>2018</v>
      </c>
      <c r="F919" t="s">
        <v>45</v>
      </c>
      <c r="G919" t="s">
        <v>21</v>
      </c>
      <c r="H919" t="s">
        <v>15</v>
      </c>
      <c r="I919" t="s">
        <v>46</v>
      </c>
      <c r="J919">
        <v>5.2097910000000001E-3</v>
      </c>
      <c r="K919"/>
      <c r="L919" s="1">
        <v>265.28840000000002</v>
      </c>
      <c r="M919">
        <v>4.5</v>
      </c>
    </row>
    <row r="920" spans="1:13" x14ac:dyDescent="0.3">
      <c r="A920" t="s">
        <v>17</v>
      </c>
      <c r="B920">
        <v>919</v>
      </c>
      <c r="C920" t="s">
        <v>748</v>
      </c>
      <c r="D920" t="s">
        <v>24</v>
      </c>
      <c r="E920">
        <v>2018</v>
      </c>
      <c r="F920" t="s">
        <v>45</v>
      </c>
      <c r="G920" t="s">
        <v>21</v>
      </c>
      <c r="H920" t="s">
        <v>15</v>
      </c>
      <c r="I920" t="s">
        <v>46</v>
      </c>
      <c r="J920">
        <v>6.5272284E-2</v>
      </c>
      <c r="K920"/>
      <c r="L920" s="1">
        <v>256.16460000000001</v>
      </c>
      <c r="M920">
        <v>4.5</v>
      </c>
    </row>
    <row r="921" spans="1:13" x14ac:dyDescent="0.3">
      <c r="A921" t="s">
        <v>17</v>
      </c>
      <c r="B921">
        <v>920</v>
      </c>
      <c r="C921" t="s">
        <v>749</v>
      </c>
      <c r="D921" t="s">
        <v>24</v>
      </c>
      <c r="E921">
        <v>2018</v>
      </c>
      <c r="F921" t="s">
        <v>45</v>
      </c>
      <c r="G921" t="s">
        <v>21</v>
      </c>
      <c r="H921" t="s">
        <v>15</v>
      </c>
      <c r="I921" t="s">
        <v>46</v>
      </c>
      <c r="J921">
        <v>0</v>
      </c>
      <c r="K921"/>
      <c r="L921" s="1">
        <v>225.30619999999999</v>
      </c>
      <c r="M921">
        <v>4.5</v>
      </c>
    </row>
    <row r="922" spans="1:13" x14ac:dyDescent="0.3">
      <c r="A922" t="s">
        <v>17</v>
      </c>
      <c r="B922">
        <v>921</v>
      </c>
      <c r="C922" t="s">
        <v>750</v>
      </c>
      <c r="D922" t="s">
        <v>24</v>
      </c>
      <c r="E922">
        <v>2018</v>
      </c>
      <c r="F922" t="s">
        <v>45</v>
      </c>
      <c r="G922" t="s">
        <v>21</v>
      </c>
      <c r="H922" t="s">
        <v>15</v>
      </c>
      <c r="I922" t="s">
        <v>46</v>
      </c>
      <c r="J922">
        <v>6.3462047999999993E-2</v>
      </c>
      <c r="K922"/>
      <c r="L922" s="1">
        <v>157.56299999999999</v>
      </c>
      <c r="M922">
        <v>4.5</v>
      </c>
    </row>
    <row r="923" spans="1:13" x14ac:dyDescent="0.3">
      <c r="A923" t="s">
        <v>17</v>
      </c>
      <c r="B923">
        <v>922</v>
      </c>
      <c r="C923" t="s">
        <v>574</v>
      </c>
      <c r="D923" t="s">
        <v>19</v>
      </c>
      <c r="E923">
        <v>2018</v>
      </c>
      <c r="F923" t="s">
        <v>45</v>
      </c>
      <c r="G923" t="s">
        <v>21</v>
      </c>
      <c r="H923" t="s">
        <v>15</v>
      </c>
      <c r="I923" t="s">
        <v>46</v>
      </c>
      <c r="J923">
        <v>7.7079176999999999E-2</v>
      </c>
      <c r="K923"/>
      <c r="L923" s="1">
        <v>61.553600000000003</v>
      </c>
      <c r="M923">
        <v>4.5</v>
      </c>
    </row>
    <row r="924" spans="1:13" x14ac:dyDescent="0.3">
      <c r="A924" t="s">
        <v>17</v>
      </c>
      <c r="B924">
        <v>923</v>
      </c>
      <c r="C924" t="s">
        <v>751</v>
      </c>
      <c r="D924" t="s">
        <v>42</v>
      </c>
      <c r="E924">
        <v>2018</v>
      </c>
      <c r="F924" t="s">
        <v>45</v>
      </c>
      <c r="G924" t="s">
        <v>21</v>
      </c>
      <c r="H924" t="s">
        <v>15</v>
      </c>
      <c r="I924" t="s">
        <v>46</v>
      </c>
      <c r="J924">
        <v>0.14258975099999999</v>
      </c>
      <c r="K924"/>
      <c r="L924" s="1">
        <v>35.918999999999997</v>
      </c>
      <c r="M924">
        <v>4.5</v>
      </c>
    </row>
    <row r="925" spans="1:13" x14ac:dyDescent="0.3">
      <c r="A925" t="s">
        <v>17</v>
      </c>
      <c r="B925">
        <v>924</v>
      </c>
      <c r="C925" t="s">
        <v>378</v>
      </c>
      <c r="D925" t="s">
        <v>42</v>
      </c>
      <c r="E925">
        <v>2018</v>
      </c>
      <c r="F925" t="s">
        <v>45</v>
      </c>
      <c r="G925" t="s">
        <v>21</v>
      </c>
      <c r="H925" t="s">
        <v>15</v>
      </c>
      <c r="I925" t="s">
        <v>46</v>
      </c>
      <c r="J925">
        <v>9.1042210999999998E-2</v>
      </c>
      <c r="K925"/>
      <c r="L925" s="1">
        <v>162.68940000000001</v>
      </c>
      <c r="M925">
        <v>4.5</v>
      </c>
    </row>
    <row r="926" spans="1:13" x14ac:dyDescent="0.3">
      <c r="A926" t="s">
        <v>17</v>
      </c>
      <c r="B926">
        <v>925</v>
      </c>
      <c r="C926" t="s">
        <v>148</v>
      </c>
      <c r="D926" t="s">
        <v>42</v>
      </c>
      <c r="E926">
        <v>2018</v>
      </c>
      <c r="F926" t="s">
        <v>45</v>
      </c>
      <c r="G926" t="s">
        <v>21</v>
      </c>
      <c r="H926" t="s">
        <v>15</v>
      </c>
      <c r="I926" t="s">
        <v>46</v>
      </c>
      <c r="J926">
        <v>5.2247806000000001E-2</v>
      </c>
      <c r="K926"/>
      <c r="L926" s="1">
        <v>190.85300000000001</v>
      </c>
      <c r="M926">
        <v>4.5</v>
      </c>
    </row>
    <row r="927" spans="1:13" x14ac:dyDescent="0.3">
      <c r="A927" t="s">
        <v>17</v>
      </c>
      <c r="B927">
        <v>926</v>
      </c>
      <c r="C927" t="s">
        <v>752</v>
      </c>
      <c r="D927" t="s">
        <v>42</v>
      </c>
      <c r="E927">
        <v>2018</v>
      </c>
      <c r="F927" t="s">
        <v>45</v>
      </c>
      <c r="G927" t="s">
        <v>21</v>
      </c>
      <c r="H927" t="s">
        <v>15</v>
      </c>
      <c r="I927" t="s">
        <v>46</v>
      </c>
      <c r="J927">
        <v>7.2317217000000003E-2</v>
      </c>
      <c r="K927"/>
      <c r="L927" s="1">
        <v>160.792</v>
      </c>
      <c r="M927">
        <v>4.5</v>
      </c>
    </row>
    <row r="928" spans="1:13" x14ac:dyDescent="0.3">
      <c r="A928" t="s">
        <v>17</v>
      </c>
      <c r="B928">
        <v>927</v>
      </c>
      <c r="C928" t="s">
        <v>241</v>
      </c>
      <c r="D928" t="s">
        <v>42</v>
      </c>
      <c r="E928">
        <v>2018</v>
      </c>
      <c r="F928" t="s">
        <v>45</v>
      </c>
      <c r="G928" t="s">
        <v>21</v>
      </c>
      <c r="H928" t="s">
        <v>15</v>
      </c>
      <c r="I928" t="s">
        <v>46</v>
      </c>
      <c r="J928">
        <v>5.911748E-2</v>
      </c>
      <c r="K928"/>
      <c r="L928" s="1">
        <v>181.5976</v>
      </c>
      <c r="M928">
        <v>4.5</v>
      </c>
    </row>
    <row r="929" spans="1:13" x14ac:dyDescent="0.3">
      <c r="A929" t="s">
        <v>17</v>
      </c>
      <c r="B929">
        <v>928</v>
      </c>
      <c r="C929" t="s">
        <v>753</v>
      </c>
      <c r="D929" t="s">
        <v>42</v>
      </c>
      <c r="E929">
        <v>2018</v>
      </c>
      <c r="F929" t="s">
        <v>45</v>
      </c>
      <c r="G929" t="s">
        <v>21</v>
      </c>
      <c r="H929" t="s">
        <v>15</v>
      </c>
      <c r="I929" t="s">
        <v>46</v>
      </c>
      <c r="J929">
        <v>9.370568E-2</v>
      </c>
      <c r="K929"/>
      <c r="L929" s="1">
        <v>253.8698</v>
      </c>
      <c r="M929">
        <v>4.5</v>
      </c>
    </row>
    <row r="930" spans="1:13" x14ac:dyDescent="0.3">
      <c r="A930" t="s">
        <v>17</v>
      </c>
      <c r="B930">
        <v>929</v>
      </c>
      <c r="C930" t="s">
        <v>754</v>
      </c>
      <c r="D930" t="s">
        <v>64</v>
      </c>
      <c r="E930">
        <v>2018</v>
      </c>
      <c r="F930" t="s">
        <v>45</v>
      </c>
      <c r="G930" t="s">
        <v>21</v>
      </c>
      <c r="H930" t="s">
        <v>15</v>
      </c>
      <c r="I930" t="s">
        <v>46</v>
      </c>
      <c r="J930">
        <v>3.1186800000000001E-2</v>
      </c>
      <c r="K930"/>
      <c r="L930" s="1">
        <v>39.548000000000002</v>
      </c>
      <c r="M930">
        <v>4.5</v>
      </c>
    </row>
    <row r="931" spans="1:13" x14ac:dyDescent="0.3">
      <c r="A931" t="s">
        <v>10</v>
      </c>
      <c r="B931">
        <v>930</v>
      </c>
      <c r="C931" t="s">
        <v>755</v>
      </c>
      <c r="D931" t="s">
        <v>95</v>
      </c>
      <c r="E931">
        <v>2018</v>
      </c>
      <c r="F931" t="s">
        <v>45</v>
      </c>
      <c r="G931" t="s">
        <v>21</v>
      </c>
      <c r="H931" t="s">
        <v>15</v>
      </c>
      <c r="I931" t="s">
        <v>46</v>
      </c>
      <c r="J931">
        <v>2.524761E-2</v>
      </c>
      <c r="K931"/>
      <c r="L931" s="1">
        <v>81.993399999999994</v>
      </c>
      <c r="M931">
        <v>4.5</v>
      </c>
    </row>
    <row r="932" spans="1:13" x14ac:dyDescent="0.3">
      <c r="A932" t="s">
        <v>10</v>
      </c>
      <c r="B932">
        <v>931</v>
      </c>
      <c r="C932" t="s">
        <v>725</v>
      </c>
      <c r="D932" t="s">
        <v>28</v>
      </c>
      <c r="E932">
        <v>2018</v>
      </c>
      <c r="F932" t="s">
        <v>45</v>
      </c>
      <c r="G932" t="s">
        <v>21</v>
      </c>
      <c r="H932" t="s">
        <v>15</v>
      </c>
      <c r="I932" t="s">
        <v>46</v>
      </c>
      <c r="J932">
        <v>4.6408928000000002E-2</v>
      </c>
      <c r="K932"/>
      <c r="L932" s="1">
        <v>153.2998</v>
      </c>
      <c r="M932">
        <v>4.5</v>
      </c>
    </row>
    <row r="933" spans="1:13" x14ac:dyDescent="0.3">
      <c r="A933" t="s">
        <v>10</v>
      </c>
      <c r="B933">
        <v>932</v>
      </c>
      <c r="C933" t="s">
        <v>756</v>
      </c>
      <c r="D933" t="s">
        <v>24</v>
      </c>
      <c r="E933">
        <v>2018</v>
      </c>
      <c r="F933" t="s">
        <v>45</v>
      </c>
      <c r="G933" t="s">
        <v>21</v>
      </c>
      <c r="H933" t="s">
        <v>15</v>
      </c>
      <c r="I933" t="s">
        <v>46</v>
      </c>
      <c r="J933">
        <v>7.9954799999999993E-3</v>
      </c>
      <c r="K933"/>
      <c r="L933" s="1">
        <v>78.561800000000005</v>
      </c>
      <c r="M933">
        <v>4.5</v>
      </c>
    </row>
    <row r="934" spans="1:13" x14ac:dyDescent="0.3">
      <c r="A934" t="s">
        <v>10</v>
      </c>
      <c r="B934">
        <v>933</v>
      </c>
      <c r="C934" t="s">
        <v>757</v>
      </c>
      <c r="D934" t="s">
        <v>24</v>
      </c>
      <c r="E934">
        <v>2018</v>
      </c>
      <c r="F934" t="s">
        <v>45</v>
      </c>
      <c r="G934" t="s">
        <v>21</v>
      </c>
      <c r="H934" t="s">
        <v>15</v>
      </c>
      <c r="I934" t="s">
        <v>46</v>
      </c>
      <c r="J934">
        <v>4.1273391E-2</v>
      </c>
      <c r="K934"/>
      <c r="L934" s="1">
        <v>91.680400000000006</v>
      </c>
      <c r="M934">
        <v>4.5</v>
      </c>
    </row>
    <row r="935" spans="1:13" x14ac:dyDescent="0.3">
      <c r="A935" t="s">
        <v>10</v>
      </c>
      <c r="B935">
        <v>934</v>
      </c>
      <c r="C935" t="s">
        <v>758</v>
      </c>
      <c r="D935" t="s">
        <v>24</v>
      </c>
      <c r="E935">
        <v>2018</v>
      </c>
      <c r="F935" t="s">
        <v>45</v>
      </c>
      <c r="G935" t="s">
        <v>21</v>
      </c>
      <c r="H935" t="s">
        <v>15</v>
      </c>
      <c r="I935" t="s">
        <v>46</v>
      </c>
      <c r="J935">
        <v>4.2270751000000002E-2</v>
      </c>
      <c r="K935"/>
      <c r="L935" s="1">
        <v>162.52099999999999</v>
      </c>
      <c r="M935">
        <v>4.5</v>
      </c>
    </row>
    <row r="936" spans="1:13" x14ac:dyDescent="0.3">
      <c r="A936" t="s">
        <v>10</v>
      </c>
      <c r="B936">
        <v>935</v>
      </c>
      <c r="C936" t="s">
        <v>759</v>
      </c>
      <c r="D936" t="s">
        <v>12</v>
      </c>
      <c r="E936">
        <v>2018</v>
      </c>
      <c r="F936" t="s">
        <v>45</v>
      </c>
      <c r="G936" t="s">
        <v>21</v>
      </c>
      <c r="H936" t="s">
        <v>15</v>
      </c>
      <c r="I936" t="s">
        <v>46</v>
      </c>
      <c r="J936">
        <v>2.8842331999999998E-2</v>
      </c>
      <c r="K936"/>
      <c r="L936" s="1">
        <v>81.495999999999995</v>
      </c>
      <c r="M936">
        <v>4.5</v>
      </c>
    </row>
    <row r="937" spans="1:13" x14ac:dyDescent="0.3">
      <c r="A937" t="s">
        <v>10</v>
      </c>
      <c r="B937">
        <v>936</v>
      </c>
      <c r="C937" t="s">
        <v>760</v>
      </c>
      <c r="D937" t="s">
        <v>48</v>
      </c>
      <c r="E937">
        <v>2018</v>
      </c>
      <c r="F937" t="s">
        <v>45</v>
      </c>
      <c r="G937" t="s">
        <v>21</v>
      </c>
      <c r="H937" t="s">
        <v>15</v>
      </c>
      <c r="I937" t="s">
        <v>46</v>
      </c>
      <c r="J937">
        <v>1.3951504E-2</v>
      </c>
      <c r="K937"/>
      <c r="L937" s="1">
        <v>199.9084</v>
      </c>
      <c r="M937">
        <v>4.5</v>
      </c>
    </row>
    <row r="938" spans="1:13" x14ac:dyDescent="0.3">
      <c r="A938" t="s">
        <v>10</v>
      </c>
      <c r="B938">
        <v>937</v>
      </c>
      <c r="C938" t="s">
        <v>761</v>
      </c>
      <c r="D938" t="s">
        <v>32</v>
      </c>
      <c r="E938">
        <v>2018</v>
      </c>
      <c r="F938" t="s">
        <v>45</v>
      </c>
      <c r="G938" t="s">
        <v>21</v>
      </c>
      <c r="H938" t="s">
        <v>15</v>
      </c>
      <c r="I938" t="s">
        <v>46</v>
      </c>
      <c r="J938">
        <v>4.4767031999999998E-2</v>
      </c>
      <c r="K938"/>
      <c r="L938" s="1">
        <v>173.7054</v>
      </c>
      <c r="M938">
        <v>4.5</v>
      </c>
    </row>
    <row r="939" spans="1:13" x14ac:dyDescent="0.3">
      <c r="A939" t="s">
        <v>35</v>
      </c>
      <c r="B939">
        <v>938</v>
      </c>
      <c r="C939" t="s">
        <v>477</v>
      </c>
      <c r="D939" t="s">
        <v>95</v>
      </c>
      <c r="E939">
        <v>2018</v>
      </c>
      <c r="F939" t="s">
        <v>45</v>
      </c>
      <c r="G939" t="s">
        <v>21</v>
      </c>
      <c r="H939" t="s">
        <v>15</v>
      </c>
      <c r="I939" t="s">
        <v>46</v>
      </c>
      <c r="J939">
        <v>3.7315468999999997E-2</v>
      </c>
      <c r="K939"/>
      <c r="L939" s="1">
        <v>50.003399999999999</v>
      </c>
      <c r="M939">
        <v>4.5</v>
      </c>
    </row>
    <row r="940" spans="1:13" x14ac:dyDescent="0.3">
      <c r="A940" t="s">
        <v>35</v>
      </c>
      <c r="B940">
        <v>939</v>
      </c>
      <c r="C940" t="s">
        <v>762</v>
      </c>
      <c r="D940" t="s">
        <v>57</v>
      </c>
      <c r="E940">
        <v>2018</v>
      </c>
      <c r="F940" t="s">
        <v>45</v>
      </c>
      <c r="G940" t="s">
        <v>21</v>
      </c>
      <c r="H940" t="s">
        <v>15</v>
      </c>
      <c r="I940" t="s">
        <v>46</v>
      </c>
      <c r="J940">
        <v>2.4407061000000001E-2</v>
      </c>
      <c r="K940"/>
      <c r="L940" s="1">
        <v>102.33320000000001</v>
      </c>
      <c r="M940">
        <v>4.5</v>
      </c>
    </row>
    <row r="941" spans="1:13" x14ac:dyDescent="0.3">
      <c r="A941" t="s">
        <v>35</v>
      </c>
      <c r="B941">
        <v>940</v>
      </c>
      <c r="C941" t="s">
        <v>763</v>
      </c>
      <c r="D941" t="s">
        <v>19</v>
      </c>
      <c r="E941">
        <v>2018</v>
      </c>
      <c r="F941" t="s">
        <v>45</v>
      </c>
      <c r="G941" t="s">
        <v>21</v>
      </c>
      <c r="H941" t="s">
        <v>15</v>
      </c>
      <c r="I941" t="s">
        <v>46</v>
      </c>
      <c r="J941">
        <v>2.0876485E-2</v>
      </c>
      <c r="K941"/>
      <c r="L941" s="1">
        <v>133.79419999999999</v>
      </c>
      <c r="M941">
        <v>4.5</v>
      </c>
    </row>
    <row r="942" spans="1:13" x14ac:dyDescent="0.3">
      <c r="A942" t="s">
        <v>10</v>
      </c>
      <c r="B942">
        <v>941</v>
      </c>
      <c r="C942" t="s">
        <v>499</v>
      </c>
      <c r="D942" t="s">
        <v>67</v>
      </c>
      <c r="E942">
        <v>2018</v>
      </c>
      <c r="F942" t="s">
        <v>45</v>
      </c>
      <c r="G942" t="s">
        <v>21</v>
      </c>
      <c r="H942" t="s">
        <v>15</v>
      </c>
      <c r="I942" t="s">
        <v>46</v>
      </c>
      <c r="J942">
        <v>6.7624437999999995E-2</v>
      </c>
      <c r="K942"/>
      <c r="L942" s="1">
        <v>120.944</v>
      </c>
      <c r="M942">
        <v>4.5</v>
      </c>
    </row>
    <row r="943" spans="1:13" x14ac:dyDescent="0.3">
      <c r="A943" t="s">
        <v>17</v>
      </c>
      <c r="B943">
        <v>942</v>
      </c>
      <c r="C943" t="s">
        <v>692</v>
      </c>
      <c r="D943" t="s">
        <v>42</v>
      </c>
      <c r="E943">
        <v>2014</v>
      </c>
      <c r="F943" t="s">
        <v>29</v>
      </c>
      <c r="G943" t="s">
        <v>21</v>
      </c>
      <c r="H943" t="s">
        <v>30</v>
      </c>
      <c r="I943" t="s">
        <v>16</v>
      </c>
      <c r="J943">
        <v>0</v>
      </c>
      <c r="K943">
        <v>8.93</v>
      </c>
      <c r="L943" s="1">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K944"/>
      <c r="L944" s="1">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s="1">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s="1">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s="1">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s="1">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s="1">
        <v>151.4366</v>
      </c>
      <c r="M949">
        <v>4.4000000000000004</v>
      </c>
    </row>
    <row r="950" spans="1:13" x14ac:dyDescent="0.3">
      <c r="A950" t="s">
        <v>10</v>
      </c>
      <c r="B950">
        <v>949</v>
      </c>
      <c r="C950" t="s">
        <v>768</v>
      </c>
      <c r="D950" t="s">
        <v>12</v>
      </c>
      <c r="E950">
        <v>2018</v>
      </c>
      <c r="F950" t="s">
        <v>138</v>
      </c>
      <c r="G950" t="s">
        <v>14</v>
      </c>
      <c r="H950" t="s">
        <v>26</v>
      </c>
      <c r="I950" t="s">
        <v>40</v>
      </c>
      <c r="J950">
        <v>9.4153749999999994E-2</v>
      </c>
      <c r="K950"/>
      <c r="L950" s="1">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s="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K952"/>
      <c r="L952" s="1">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K953"/>
      <c r="L953" s="1">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s="1">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s="1">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s="1">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s="1">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s="1">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s="1">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s="1">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s="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s="1">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s="1">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s="1">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K965"/>
      <c r="L965" s="1">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s="1">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s="1">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K968"/>
      <c r="L968" s="1">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s="1">
        <v>145.047</v>
      </c>
      <c r="M969">
        <v>4.4000000000000004</v>
      </c>
    </row>
    <row r="970" spans="1:13" x14ac:dyDescent="0.3">
      <c r="A970" t="s">
        <v>10</v>
      </c>
      <c r="B970">
        <v>969</v>
      </c>
      <c r="C970" t="s">
        <v>783</v>
      </c>
      <c r="D970" t="s">
        <v>12</v>
      </c>
      <c r="E970">
        <v>2018</v>
      </c>
      <c r="F970" t="s">
        <v>45</v>
      </c>
      <c r="G970" t="s">
        <v>21</v>
      </c>
      <c r="H970" t="s">
        <v>15</v>
      </c>
      <c r="I970" t="s">
        <v>46</v>
      </c>
      <c r="J970">
        <v>6.5316099000000002E-2</v>
      </c>
      <c r="K970"/>
      <c r="L970" s="1">
        <v>189.92140000000001</v>
      </c>
      <c r="M970">
        <v>4.4000000000000004</v>
      </c>
    </row>
    <row r="971" spans="1:13" x14ac:dyDescent="0.3">
      <c r="A971" t="s">
        <v>17</v>
      </c>
      <c r="B971">
        <v>970</v>
      </c>
      <c r="C971" t="s">
        <v>177</v>
      </c>
      <c r="D971" t="s">
        <v>48</v>
      </c>
      <c r="E971">
        <v>2018</v>
      </c>
      <c r="F971" t="s">
        <v>45</v>
      </c>
      <c r="G971" t="s">
        <v>21</v>
      </c>
      <c r="H971" t="s">
        <v>15</v>
      </c>
      <c r="I971" t="s">
        <v>46</v>
      </c>
      <c r="J971">
        <v>0.115978122</v>
      </c>
      <c r="K971"/>
      <c r="L971" s="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K972"/>
      <c r="L972" s="1">
        <v>182.0318</v>
      </c>
      <c r="M972">
        <v>4.4000000000000004</v>
      </c>
    </row>
    <row r="973" spans="1:13" x14ac:dyDescent="0.3">
      <c r="A973" t="s">
        <v>17</v>
      </c>
      <c r="B973">
        <v>972</v>
      </c>
      <c r="C973" t="s">
        <v>370</v>
      </c>
      <c r="D973" t="s">
        <v>67</v>
      </c>
      <c r="E973">
        <v>2018</v>
      </c>
      <c r="F973" t="s">
        <v>45</v>
      </c>
      <c r="G973" t="s">
        <v>21</v>
      </c>
      <c r="H973" t="s">
        <v>15</v>
      </c>
      <c r="I973" t="s">
        <v>46</v>
      </c>
      <c r="J973">
        <v>4.4767801000000003E-2</v>
      </c>
      <c r="K973"/>
      <c r="L973" s="1">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s="1">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K975"/>
      <c r="L975" s="1">
        <v>83.127600000000001</v>
      </c>
      <c r="M975">
        <v>4.4000000000000004</v>
      </c>
    </row>
    <row r="976" spans="1:13" x14ac:dyDescent="0.3">
      <c r="A976" t="s">
        <v>10</v>
      </c>
      <c r="B976">
        <v>975</v>
      </c>
      <c r="C976" t="s">
        <v>786</v>
      </c>
      <c r="D976" t="s">
        <v>28</v>
      </c>
      <c r="E976">
        <v>2018</v>
      </c>
      <c r="F976" t="s">
        <v>45</v>
      </c>
      <c r="G976" t="s">
        <v>21</v>
      </c>
      <c r="H976" t="s">
        <v>15</v>
      </c>
      <c r="I976" t="s">
        <v>46</v>
      </c>
      <c r="J976">
        <v>0</v>
      </c>
      <c r="K976"/>
      <c r="L976" s="1">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s="1">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s="1">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s="1">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s="1">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s="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s="1">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s="1">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s="1">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s="1">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s="1">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s="1">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s="1">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s="1">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s="1">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s="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s="1">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s="1">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s="1">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s="1">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s="1">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s="1">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s="1">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s="1">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s="1">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s="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s="1">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s="1">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s="1">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s="1">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s="1">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s="1">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s="1">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s="1">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s="1">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s="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s="1">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s="1">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s="1">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s="1">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s="1">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s="1">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s="1">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s="1">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K1020"/>
      <c r="L1020" s="1">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K1021"/>
      <c r="L1021" s="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K1022"/>
      <c r="L1022" s="1">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K1023"/>
      <c r="L1023" s="1">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K1024"/>
      <c r="L1024" s="1">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K1025"/>
      <c r="L1025" s="1">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K1026"/>
      <c r="L1026" s="1">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K1027"/>
      <c r="L1027" s="1">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K1028"/>
      <c r="L1028" s="1">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K1029"/>
      <c r="L1029" s="1">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K1030"/>
      <c r="L1030" s="1">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K1031"/>
      <c r="L1031" s="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K1032"/>
      <c r="L1032" s="1">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K1033"/>
      <c r="L1033" s="1">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K1034"/>
      <c r="L1034" s="1">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K1035"/>
      <c r="L1035" s="1">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K1036"/>
      <c r="L1036" s="1">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K1037"/>
      <c r="L1037" s="1">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K1038"/>
      <c r="L1038" s="1">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K1039"/>
      <c r="L1039" s="1">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K1040"/>
      <c r="L1040" s="1">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s="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s="1">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s="1">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s="1">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s="1">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s="1">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s="1">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s="1">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s="1">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s="1">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s="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s="1">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s="1">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s="1">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s="1">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s="1">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s="1">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s="1">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s="1">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s="1">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s="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s="1">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s="1">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s="1">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s="1">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s="1">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s="1">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s="1">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s="1">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s="1">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s="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s="1">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s="1">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s="1">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s="1">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s="1">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s="1">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s="1">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s="1">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s="1">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s="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s="1">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s="1">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s="1">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s="1">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s="1">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s="1">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s="1">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s="1">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s="1">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s="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s="1">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s="1">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s="1">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s="1">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s="1">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s="1">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s="1">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s="1">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s="1">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s="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s="1">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s="1">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s="1">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s="1">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s="1">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s="1">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s="1">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s="1">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s="1">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s="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s="1">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s="1">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s="1">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s="1">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s="1">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s="1">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s="1">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s="1">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s="1">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s="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s="1">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s="1">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s="1">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s="1">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s="1">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s="1">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s="1">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s="1">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s="1">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s="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s="1">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s="1">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s="1">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s="1">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s="1">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s="1">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s="1">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s="1">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s="1">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s="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s="1">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s="1">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s="1">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s="1">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s="1">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s="1">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s="1">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s="1">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s="1">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s="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s="1">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s="1">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s="1">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s="1">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s="1">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s="1">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s="1">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s="1">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s="1">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s="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s="1">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s="1">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s="1">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s="1">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s="1">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s="1">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s="1">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s="1">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s="1">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s="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s="1">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s="1">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s="1">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s="1">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s="1">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s="1">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s="1">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s="1">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s="1">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s="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s="1">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s="1">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s="1">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s="1">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s="1">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s="1">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s="1">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s="1">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s="1">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s="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s="1">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s="1">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s="1">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s="1">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s="1">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s="1">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s="1">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s="1">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s="1">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s="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s="1">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s="1">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s="1">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s="1">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s="1">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s="1">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s="1">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s="1">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s="1">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s="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s="1">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s="1">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s="1">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s="1">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s="1">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s="1">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s="1">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s="1">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s="1">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s="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s="1">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s="1">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s="1">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s="1">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s="1">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s="1">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s="1">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s="1">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s="1">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s="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s="1">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s="1">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s="1">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s="1">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s="1">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s="1">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s="1">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s="1">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s="1">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s="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s="1">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s="1">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s="1">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s="1">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s="1">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s="1">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s="1">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s="1">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s="1">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s="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s="1">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s="1">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s="1">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s="1">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s="1">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K1257"/>
      <c r="L1257" s="1">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K1258"/>
      <c r="L1258" s="1">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K1259"/>
      <c r="L1259" s="1">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K1260"/>
      <c r="L1260" s="1">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K1261"/>
      <c r="L1261" s="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K1262"/>
      <c r="L1262" s="1">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K1263"/>
      <c r="L1263" s="1">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K1264"/>
      <c r="L1264" s="1">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K1265"/>
      <c r="L1265" s="1">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K1266"/>
      <c r="L1266" s="1">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K1267"/>
      <c r="L1267" s="1">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K1268"/>
      <c r="L1268" s="1">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K1269"/>
      <c r="L1269" s="1">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K1270"/>
      <c r="L1270" s="1">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K1271"/>
      <c r="L1271" s="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K1272"/>
      <c r="L1272" s="1">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K1273"/>
      <c r="L1273" s="1">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K1274"/>
      <c r="L1274" s="1">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K1275"/>
      <c r="L1275" s="1">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K1276"/>
      <c r="L1276" s="1">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K1277"/>
      <c r="L1277" s="1">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K1278"/>
      <c r="L1278" s="1">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K1279"/>
      <c r="L1279" s="1">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K1280"/>
      <c r="L1280" s="1">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K1281"/>
      <c r="L1281" s="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K1282"/>
      <c r="L1282" s="1">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s="1">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K1284"/>
      <c r="L1284" s="1">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s="1">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s="1">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s="1">
        <v>192.9136</v>
      </c>
      <c r="M1287">
        <v>4.3</v>
      </c>
    </row>
    <row r="1288" spans="1:13" x14ac:dyDescent="0.3">
      <c r="A1288" t="s">
        <v>17</v>
      </c>
      <c r="B1288">
        <v>1287</v>
      </c>
      <c r="C1288" t="s">
        <v>959</v>
      </c>
      <c r="D1288" t="s">
        <v>12</v>
      </c>
      <c r="E1288">
        <v>2018</v>
      </c>
      <c r="F1288" t="s">
        <v>45</v>
      </c>
      <c r="G1288" t="s">
        <v>21</v>
      </c>
      <c r="H1288" t="s">
        <v>15</v>
      </c>
      <c r="I1288" t="s">
        <v>46</v>
      </c>
      <c r="J1288">
        <v>1.2090073999999999E-2</v>
      </c>
      <c r="K1288"/>
      <c r="L1288" s="1">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s="1">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s="1">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s="1">
        <v>192.4478</v>
      </c>
      <c r="M1291">
        <v>4.3</v>
      </c>
    </row>
    <row r="1292" spans="1:13" x14ac:dyDescent="0.3">
      <c r="A1292" t="s">
        <v>17</v>
      </c>
      <c r="B1292">
        <v>1291</v>
      </c>
      <c r="C1292" t="s">
        <v>927</v>
      </c>
      <c r="D1292" t="s">
        <v>28</v>
      </c>
      <c r="E1292">
        <v>2018</v>
      </c>
      <c r="F1292" t="s">
        <v>45</v>
      </c>
      <c r="G1292" t="s">
        <v>21</v>
      </c>
      <c r="H1292" t="s">
        <v>15</v>
      </c>
      <c r="I1292" t="s">
        <v>46</v>
      </c>
      <c r="J1292">
        <v>3.3809912999999997E-2</v>
      </c>
      <c r="K1292"/>
      <c r="L1292" s="1">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s="1">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s="1">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s="1">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s="1">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s="1">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s="1">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s="1">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s="1">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s="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s="1">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s="1">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s="1">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s="1">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s="1">
        <v>147.3734</v>
      </c>
      <c r="M1306">
        <v>4.3</v>
      </c>
    </row>
    <row r="1307" spans="1:13" x14ac:dyDescent="0.3">
      <c r="A1307" t="s">
        <v>10</v>
      </c>
      <c r="B1307">
        <v>1306</v>
      </c>
      <c r="C1307" t="s">
        <v>266</v>
      </c>
      <c r="D1307" t="s">
        <v>95</v>
      </c>
      <c r="E1307">
        <v>2018</v>
      </c>
      <c r="F1307" t="s">
        <v>45</v>
      </c>
      <c r="G1307" t="s">
        <v>21</v>
      </c>
      <c r="H1307" t="s">
        <v>15</v>
      </c>
      <c r="I1307" t="s">
        <v>46</v>
      </c>
      <c r="J1307">
        <v>0.11679291999999999</v>
      </c>
      <c r="K1307"/>
      <c r="L1307" s="1">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s="1">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s="1">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s="1">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K1311"/>
      <c r="L1311" s="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s="1">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s="1">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s="1">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s="1">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s="1">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s="1">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s="1">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s="1">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s="1">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s="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K1322"/>
      <c r="L1322" s="1">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s="1">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s="1">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s="1">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s="1">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s="1">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s="1">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s="1">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s="1">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s="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s="1">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s="1">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s="1">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s="1">
        <v>220.77979999999999</v>
      </c>
      <c r="M1335">
        <v>4.3</v>
      </c>
    </row>
    <row r="1336" spans="1:13" x14ac:dyDescent="0.3">
      <c r="A1336" t="s">
        <v>17</v>
      </c>
      <c r="B1336">
        <v>1335</v>
      </c>
      <c r="C1336" t="s">
        <v>974</v>
      </c>
      <c r="D1336" t="s">
        <v>159</v>
      </c>
      <c r="E1336">
        <v>2018</v>
      </c>
      <c r="F1336" t="s">
        <v>45</v>
      </c>
      <c r="G1336" t="s">
        <v>21</v>
      </c>
      <c r="H1336" t="s">
        <v>15</v>
      </c>
      <c r="I1336" t="s">
        <v>46</v>
      </c>
      <c r="J1336">
        <v>1.4788594E-2</v>
      </c>
      <c r="K1336"/>
      <c r="L1336" s="1">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s="1">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s="1">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s="1">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s="1">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s="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s="1">
        <v>248.4092</v>
      </c>
      <c r="M1342">
        <v>4.3</v>
      </c>
    </row>
    <row r="1343" spans="1:13" x14ac:dyDescent="0.3">
      <c r="A1343" t="s">
        <v>17</v>
      </c>
      <c r="B1343">
        <v>1342</v>
      </c>
      <c r="C1343" t="s">
        <v>979</v>
      </c>
      <c r="D1343" t="s">
        <v>54</v>
      </c>
      <c r="E1343">
        <v>2018</v>
      </c>
      <c r="F1343" t="s">
        <v>138</v>
      </c>
      <c r="G1343" t="s">
        <v>14</v>
      </c>
      <c r="H1343" t="s">
        <v>26</v>
      </c>
      <c r="I1343" t="s">
        <v>40</v>
      </c>
      <c r="J1343">
        <v>0.13941941699999999</v>
      </c>
      <c r="K1343"/>
      <c r="L1343" s="1">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s="1">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s="1">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s="1">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s="1">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K1348"/>
      <c r="L1348" s="1">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K1349"/>
      <c r="L1349" s="1">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s="1">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K1351"/>
      <c r="L1351" s="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s="1">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s="1">
        <v>80.164400000000001</v>
      </c>
      <c r="M1353">
        <v>4.3</v>
      </c>
    </row>
    <row r="1354" spans="1:13" x14ac:dyDescent="0.3">
      <c r="A1354" t="s">
        <v>17</v>
      </c>
      <c r="B1354">
        <v>1353</v>
      </c>
      <c r="C1354" t="s">
        <v>152</v>
      </c>
      <c r="D1354" t="s">
        <v>153</v>
      </c>
      <c r="E1354">
        <v>2018</v>
      </c>
      <c r="F1354" t="s">
        <v>45</v>
      </c>
      <c r="G1354" t="s">
        <v>21</v>
      </c>
      <c r="H1354" t="s">
        <v>15</v>
      </c>
      <c r="I1354" t="s">
        <v>46</v>
      </c>
      <c r="J1354">
        <v>7.3055148E-2</v>
      </c>
      <c r="K1354"/>
      <c r="L1354" s="1">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s="1">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s="1">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s="1">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s="1">
        <v>102.1332</v>
      </c>
      <c r="M1358">
        <v>4.3</v>
      </c>
    </row>
    <row r="1359" spans="1:13" x14ac:dyDescent="0.3">
      <c r="A1359" t="s">
        <v>17</v>
      </c>
      <c r="B1359">
        <v>1358</v>
      </c>
      <c r="C1359" t="s">
        <v>464</v>
      </c>
      <c r="D1359" t="s">
        <v>95</v>
      </c>
      <c r="E1359">
        <v>2018</v>
      </c>
      <c r="F1359" t="s">
        <v>138</v>
      </c>
      <c r="G1359" t="s">
        <v>14</v>
      </c>
      <c r="H1359" t="s">
        <v>26</v>
      </c>
      <c r="I1359" t="s">
        <v>40</v>
      </c>
      <c r="J1359">
        <v>0.12898087999999999</v>
      </c>
      <c r="K1359"/>
      <c r="L1359" s="1">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s="1">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K1361"/>
      <c r="L1361" s="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s="1">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s="1">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s="1">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s="1">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s="1">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s="1">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s="1">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s="1">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s="1">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s="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s="1">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s="1">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s="1">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s="1">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s="1">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s="1">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s="1">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s="1">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s="1">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s="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s="1">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s="1">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s="1">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s="1">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s="1">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s="1">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s="1">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s="1">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s="1">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s="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s="1">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s="1">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s="1">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s="1">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s="1">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s="1">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s="1">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s="1">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s="1">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s="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s="1">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s="1">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s="1">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s="1">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s="1">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s="1">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s="1">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s="1">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s="1">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s="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s="1">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s="1">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s="1">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s="1">
        <v>98.87</v>
      </c>
      <c r="M1415">
        <v>4.3</v>
      </c>
    </row>
    <row r="1416" spans="1:13" x14ac:dyDescent="0.3">
      <c r="A1416" t="s">
        <v>10</v>
      </c>
      <c r="B1416">
        <v>1415</v>
      </c>
      <c r="C1416" t="s">
        <v>85</v>
      </c>
      <c r="D1416" t="s">
        <v>67</v>
      </c>
      <c r="E1416">
        <v>2012</v>
      </c>
      <c r="F1416" t="s">
        <v>13</v>
      </c>
      <c r="G1416" t="s">
        <v>14</v>
      </c>
      <c r="H1416" t="s">
        <v>15</v>
      </c>
      <c r="I1416" t="s">
        <v>16</v>
      </c>
      <c r="J1416">
        <v>0</v>
      </c>
      <c r="K1416">
        <v>6.75</v>
      </c>
      <c r="L1416" s="1">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s="1">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s="1">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s="1">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s="1">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s="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s="1">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s="1">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s="1">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s="1">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s="1">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s="1">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s="1">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s="1">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s="1">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s="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s="1">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s="1">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s="1">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s="1">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K1436"/>
      <c r="L1436" s="1">
        <v>185.42660000000001</v>
      </c>
      <c r="M1436">
        <v>4.3</v>
      </c>
    </row>
    <row r="1437" spans="1:13" x14ac:dyDescent="0.3">
      <c r="A1437" t="s">
        <v>17</v>
      </c>
      <c r="B1437">
        <v>1436</v>
      </c>
      <c r="C1437" t="s">
        <v>1016</v>
      </c>
      <c r="D1437" t="s">
        <v>95</v>
      </c>
      <c r="E1437">
        <v>2018</v>
      </c>
      <c r="F1437" t="s">
        <v>138</v>
      </c>
      <c r="G1437" t="s">
        <v>14</v>
      </c>
      <c r="H1437" t="s">
        <v>26</v>
      </c>
      <c r="I1437" t="s">
        <v>40</v>
      </c>
      <c r="J1437">
        <v>0.136417078</v>
      </c>
      <c r="K1437"/>
      <c r="L1437" s="1">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K1438"/>
      <c r="L1438" s="1">
        <v>98.838399999999993</v>
      </c>
      <c r="M1438">
        <v>4.3</v>
      </c>
    </row>
    <row r="1439" spans="1:13" x14ac:dyDescent="0.3">
      <c r="A1439" t="s">
        <v>17</v>
      </c>
      <c r="B1439">
        <v>1438</v>
      </c>
      <c r="C1439" t="s">
        <v>632</v>
      </c>
      <c r="D1439" t="s">
        <v>95</v>
      </c>
      <c r="E1439">
        <v>2018</v>
      </c>
      <c r="F1439" t="s">
        <v>138</v>
      </c>
      <c r="G1439" t="s">
        <v>14</v>
      </c>
      <c r="H1439" t="s">
        <v>26</v>
      </c>
      <c r="I1439" t="s">
        <v>40</v>
      </c>
      <c r="J1439">
        <v>0.208987123</v>
      </c>
      <c r="K1439"/>
      <c r="L1439" s="1">
        <v>106.0596</v>
      </c>
      <c r="M1439">
        <v>4.3</v>
      </c>
    </row>
    <row r="1440" spans="1:13" x14ac:dyDescent="0.3">
      <c r="A1440" t="s">
        <v>17</v>
      </c>
      <c r="B1440">
        <v>1439</v>
      </c>
      <c r="C1440" t="s">
        <v>633</v>
      </c>
      <c r="D1440" t="s">
        <v>57</v>
      </c>
      <c r="E1440">
        <v>2018</v>
      </c>
      <c r="F1440" t="s">
        <v>138</v>
      </c>
      <c r="G1440" t="s">
        <v>14</v>
      </c>
      <c r="H1440" t="s">
        <v>26</v>
      </c>
      <c r="I1440" t="s">
        <v>40</v>
      </c>
      <c r="J1440">
        <v>0.246678647</v>
      </c>
      <c r="K1440"/>
      <c r="L1440" s="1">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K1441"/>
      <c r="L1441" s="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K1442"/>
      <c r="L1442" s="1">
        <v>105.9306</v>
      </c>
      <c r="M1442">
        <v>4.3</v>
      </c>
    </row>
    <row r="1443" spans="1:13" x14ac:dyDescent="0.3">
      <c r="A1443" t="s">
        <v>17</v>
      </c>
      <c r="B1443">
        <v>1442</v>
      </c>
      <c r="C1443" t="s">
        <v>1018</v>
      </c>
      <c r="D1443" t="s">
        <v>24</v>
      </c>
      <c r="E1443">
        <v>2018</v>
      </c>
      <c r="F1443" t="s">
        <v>138</v>
      </c>
      <c r="G1443" t="s">
        <v>14</v>
      </c>
      <c r="H1443" t="s">
        <v>26</v>
      </c>
      <c r="I1443" t="s">
        <v>40</v>
      </c>
      <c r="J1443">
        <v>0</v>
      </c>
      <c r="K1443"/>
      <c r="L1443" s="1">
        <v>109.9254</v>
      </c>
      <c r="M1443">
        <v>4.3</v>
      </c>
    </row>
    <row r="1444" spans="1:13" x14ac:dyDescent="0.3">
      <c r="A1444" t="s">
        <v>17</v>
      </c>
      <c r="B1444">
        <v>1443</v>
      </c>
      <c r="C1444" t="s">
        <v>345</v>
      </c>
      <c r="D1444" t="s">
        <v>24</v>
      </c>
      <c r="E1444">
        <v>2018</v>
      </c>
      <c r="F1444" t="s">
        <v>138</v>
      </c>
      <c r="G1444" t="s">
        <v>14</v>
      </c>
      <c r="H1444" t="s">
        <v>26</v>
      </c>
      <c r="I1444" t="s">
        <v>40</v>
      </c>
      <c r="J1444">
        <v>0.15725763700000001</v>
      </c>
      <c r="K1444"/>
      <c r="L1444" s="1">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K1445"/>
      <c r="L1445" s="1">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K1446"/>
      <c r="L1446" s="1">
        <v>211.3586</v>
      </c>
      <c r="M1446">
        <v>4.3</v>
      </c>
    </row>
    <row r="1447" spans="1:13" x14ac:dyDescent="0.3">
      <c r="A1447" t="s">
        <v>17</v>
      </c>
      <c r="B1447">
        <v>1446</v>
      </c>
      <c r="C1447" t="s">
        <v>1020</v>
      </c>
      <c r="D1447" t="s">
        <v>12</v>
      </c>
      <c r="E1447">
        <v>2018</v>
      </c>
      <c r="F1447" t="s">
        <v>138</v>
      </c>
      <c r="G1447" t="s">
        <v>14</v>
      </c>
      <c r="H1447" t="s">
        <v>26</v>
      </c>
      <c r="I1447" t="s">
        <v>40</v>
      </c>
      <c r="J1447">
        <v>0.13611954900000001</v>
      </c>
      <c r="K1447"/>
      <c r="L1447" s="1">
        <v>94.109399999999994</v>
      </c>
      <c r="M1447">
        <v>4.3</v>
      </c>
    </row>
    <row r="1448" spans="1:13" x14ac:dyDescent="0.3">
      <c r="A1448" t="s">
        <v>17</v>
      </c>
      <c r="B1448">
        <v>1447</v>
      </c>
      <c r="C1448" t="s">
        <v>991</v>
      </c>
      <c r="D1448" t="s">
        <v>19</v>
      </c>
      <c r="E1448">
        <v>2018</v>
      </c>
      <c r="F1448" t="s">
        <v>138</v>
      </c>
      <c r="G1448" t="s">
        <v>14</v>
      </c>
      <c r="H1448" t="s">
        <v>26</v>
      </c>
      <c r="I1448" t="s">
        <v>40</v>
      </c>
      <c r="J1448">
        <v>0</v>
      </c>
      <c r="K1448"/>
      <c r="L1448" s="1">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K1449"/>
      <c r="L1449" s="1">
        <v>44.076999999999998</v>
      </c>
      <c r="M1449">
        <v>4.3</v>
      </c>
    </row>
    <row r="1450" spans="1:13" x14ac:dyDescent="0.3">
      <c r="A1450" t="s">
        <v>17</v>
      </c>
      <c r="B1450">
        <v>1449</v>
      </c>
      <c r="C1450" t="s">
        <v>1021</v>
      </c>
      <c r="D1450" t="s">
        <v>19</v>
      </c>
      <c r="E1450">
        <v>2018</v>
      </c>
      <c r="F1450" t="s">
        <v>138</v>
      </c>
      <c r="G1450" t="s">
        <v>14</v>
      </c>
      <c r="H1450" t="s">
        <v>26</v>
      </c>
      <c r="I1450" t="s">
        <v>40</v>
      </c>
      <c r="J1450">
        <v>0.182493512</v>
      </c>
      <c r="K1450"/>
      <c r="L1450" s="1">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K1451"/>
      <c r="L1451" s="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K1452"/>
      <c r="L1452" s="1">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K1453"/>
      <c r="L1453" s="1">
        <v>75.535399999999996</v>
      </c>
      <c r="M1453">
        <v>4.3</v>
      </c>
    </row>
    <row r="1454" spans="1:13" x14ac:dyDescent="0.3">
      <c r="A1454" t="s">
        <v>17</v>
      </c>
      <c r="B1454">
        <v>1453</v>
      </c>
      <c r="C1454" t="s">
        <v>1023</v>
      </c>
      <c r="D1454" t="s">
        <v>42</v>
      </c>
      <c r="E1454">
        <v>2018</v>
      </c>
      <c r="F1454" t="s">
        <v>138</v>
      </c>
      <c r="G1454" t="s">
        <v>14</v>
      </c>
      <c r="H1454" t="s">
        <v>26</v>
      </c>
      <c r="I1454" t="s">
        <v>40</v>
      </c>
      <c r="J1454">
        <v>0.13027716</v>
      </c>
      <c r="K1454"/>
      <c r="L1454" s="1">
        <v>228.001</v>
      </c>
      <c r="M1454">
        <v>4.3</v>
      </c>
    </row>
    <row r="1455" spans="1:13" x14ac:dyDescent="0.3">
      <c r="A1455" t="s">
        <v>17</v>
      </c>
      <c r="B1455">
        <v>1454</v>
      </c>
      <c r="C1455" t="s">
        <v>1024</v>
      </c>
      <c r="D1455" t="s">
        <v>54</v>
      </c>
      <c r="E1455">
        <v>2018</v>
      </c>
      <c r="F1455" t="s">
        <v>138</v>
      </c>
      <c r="G1455" t="s">
        <v>14</v>
      </c>
      <c r="H1455" t="s">
        <v>26</v>
      </c>
      <c r="I1455" t="s">
        <v>40</v>
      </c>
      <c r="J1455">
        <v>8.1651443000000004E-2</v>
      </c>
      <c r="K1455"/>
      <c r="L1455" s="1">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K1456"/>
      <c r="L1456" s="1">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K1457"/>
      <c r="L1457" s="1">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K1458"/>
      <c r="L1458" s="1">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K1459"/>
      <c r="L1459" s="1">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K1460"/>
      <c r="L1460" s="1">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K1461"/>
      <c r="L1461" s="1">
        <v>92.811999999999998</v>
      </c>
      <c r="M1461">
        <v>4.3</v>
      </c>
    </row>
    <row r="1462" spans="1:13" x14ac:dyDescent="0.3">
      <c r="A1462" t="s">
        <v>10</v>
      </c>
      <c r="B1462">
        <v>1461</v>
      </c>
      <c r="C1462" t="s">
        <v>937</v>
      </c>
      <c r="D1462" t="s">
        <v>74</v>
      </c>
      <c r="E1462">
        <v>2018</v>
      </c>
      <c r="F1462" t="s">
        <v>138</v>
      </c>
      <c r="G1462" t="s">
        <v>14</v>
      </c>
      <c r="H1462" t="s">
        <v>26</v>
      </c>
      <c r="I1462" t="s">
        <v>40</v>
      </c>
      <c r="J1462">
        <v>0.107110465</v>
      </c>
      <c r="K1462"/>
      <c r="L1462" s="1">
        <v>55.558799999999998</v>
      </c>
      <c r="M1462">
        <v>4.3</v>
      </c>
    </row>
    <row r="1463" spans="1:13" x14ac:dyDescent="0.3">
      <c r="A1463" t="s">
        <v>10</v>
      </c>
      <c r="B1463">
        <v>1462</v>
      </c>
      <c r="C1463" t="s">
        <v>701</v>
      </c>
      <c r="D1463" t="s">
        <v>67</v>
      </c>
      <c r="E1463">
        <v>2018</v>
      </c>
      <c r="F1463" t="s">
        <v>138</v>
      </c>
      <c r="G1463" t="s">
        <v>14</v>
      </c>
      <c r="H1463" t="s">
        <v>26</v>
      </c>
      <c r="I1463" t="s">
        <v>40</v>
      </c>
      <c r="J1463">
        <v>0</v>
      </c>
      <c r="K1463"/>
      <c r="L1463" s="1">
        <v>55.9298</v>
      </c>
      <c r="M1463">
        <v>4.3</v>
      </c>
    </row>
    <row r="1464" spans="1:13" x14ac:dyDescent="0.3">
      <c r="A1464" t="s">
        <v>10</v>
      </c>
      <c r="B1464">
        <v>1463</v>
      </c>
      <c r="C1464" t="s">
        <v>190</v>
      </c>
      <c r="D1464" t="s">
        <v>24</v>
      </c>
      <c r="E1464">
        <v>2018</v>
      </c>
      <c r="F1464" t="s">
        <v>138</v>
      </c>
      <c r="G1464" t="s">
        <v>14</v>
      </c>
      <c r="H1464" t="s">
        <v>26</v>
      </c>
      <c r="I1464" t="s">
        <v>40</v>
      </c>
      <c r="J1464">
        <v>7.2786429999999999E-2</v>
      </c>
      <c r="K1464"/>
      <c r="L1464" s="1">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K1465"/>
      <c r="L1465" s="1">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K1466"/>
      <c r="L1466" s="1">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K1467"/>
      <c r="L1467" s="1">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K1468"/>
      <c r="L1468" s="1">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K1469"/>
      <c r="L1469" s="1">
        <v>206.8638</v>
      </c>
      <c r="M1469">
        <v>4.3</v>
      </c>
    </row>
    <row r="1470" spans="1:13" x14ac:dyDescent="0.3">
      <c r="A1470" t="s">
        <v>10</v>
      </c>
      <c r="B1470">
        <v>1469</v>
      </c>
      <c r="C1470" t="s">
        <v>1029</v>
      </c>
      <c r="D1470" t="s">
        <v>54</v>
      </c>
      <c r="E1470">
        <v>2018</v>
      </c>
      <c r="F1470" t="s">
        <v>138</v>
      </c>
      <c r="G1470" t="s">
        <v>14</v>
      </c>
      <c r="H1470" t="s">
        <v>26</v>
      </c>
      <c r="I1470" t="s">
        <v>40</v>
      </c>
      <c r="J1470">
        <v>0.10697116700000001</v>
      </c>
      <c r="K1470"/>
      <c r="L1470" s="1">
        <v>44.7744</v>
      </c>
      <c r="M1470">
        <v>4.3</v>
      </c>
    </row>
    <row r="1471" spans="1:13" x14ac:dyDescent="0.3">
      <c r="A1471" t="s">
        <v>10</v>
      </c>
      <c r="B1471">
        <v>1470</v>
      </c>
      <c r="C1471" t="s">
        <v>810</v>
      </c>
      <c r="D1471" t="s">
        <v>48</v>
      </c>
      <c r="E1471">
        <v>2018</v>
      </c>
      <c r="F1471" t="s">
        <v>138</v>
      </c>
      <c r="G1471" t="s">
        <v>14</v>
      </c>
      <c r="H1471" t="s">
        <v>26</v>
      </c>
      <c r="I1471" t="s">
        <v>40</v>
      </c>
      <c r="J1471">
        <v>7.8758649E-2</v>
      </c>
      <c r="K1471"/>
      <c r="L1471" s="1">
        <v>103.0016</v>
      </c>
      <c r="M1471">
        <v>4.3</v>
      </c>
    </row>
    <row r="1472" spans="1:13" x14ac:dyDescent="0.3">
      <c r="A1472" t="s">
        <v>10</v>
      </c>
      <c r="B1472">
        <v>1471</v>
      </c>
      <c r="C1472" t="s">
        <v>1030</v>
      </c>
      <c r="D1472" t="s">
        <v>48</v>
      </c>
      <c r="E1472">
        <v>2018</v>
      </c>
      <c r="F1472" t="s">
        <v>138</v>
      </c>
      <c r="G1472" t="s">
        <v>14</v>
      </c>
      <c r="H1472" t="s">
        <v>26</v>
      </c>
      <c r="I1472" t="s">
        <v>40</v>
      </c>
      <c r="J1472">
        <v>0.22417463000000001</v>
      </c>
      <c r="K1472"/>
      <c r="L1472" s="1">
        <v>168.88159999999999</v>
      </c>
      <c r="M1472">
        <v>4.3</v>
      </c>
    </row>
    <row r="1473" spans="1:13" x14ac:dyDescent="0.3">
      <c r="A1473" t="s">
        <v>10</v>
      </c>
      <c r="B1473">
        <v>1472</v>
      </c>
      <c r="C1473" t="s">
        <v>1031</v>
      </c>
      <c r="D1473" t="s">
        <v>48</v>
      </c>
      <c r="E1473">
        <v>2018</v>
      </c>
      <c r="F1473" t="s">
        <v>138</v>
      </c>
      <c r="G1473" t="s">
        <v>14</v>
      </c>
      <c r="H1473" t="s">
        <v>26</v>
      </c>
      <c r="I1473" t="s">
        <v>40</v>
      </c>
      <c r="J1473">
        <v>7.3462632E-2</v>
      </c>
      <c r="K1473"/>
      <c r="L1473" s="1">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K1474"/>
      <c r="L1474" s="1">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s="1">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s="1">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s="1">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s="1">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s="1">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s="1">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s="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s="1">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s="1">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s="1">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s="1">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s="1">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s="1">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s="1">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s="1">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s="1">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s="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s="1">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s="1">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s="1">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s="1">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s="1">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s="1">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s="1">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s="1">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s="1">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s="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s="1">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s="1">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s="1">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s="1">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s="1">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s="1">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s="1">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s="1">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s="1">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s="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s="1">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s="1">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s="1">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s="1">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s="1">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s="1">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s="1">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s="1">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s="1">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s="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s="1">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s="1">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s="1">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s="1">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s="1">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s="1">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s="1">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s="1">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s="1">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s="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s="1">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s="1">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s="1">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s="1">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s="1">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s="1">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s="1">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s="1">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s="1">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s="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s="1">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s="1">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s="1">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s="1">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s="1">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s="1">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s="1">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s="1">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s="1">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s="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s="1">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s="1">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s="1">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s="1">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s="1">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s="1">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s="1">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s="1">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s="1">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s="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s="1">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s="1">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s="1">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s="1">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s="1">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s="1">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s="1">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s="1">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s="1">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s="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s="1">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s="1">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s="1">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s="1">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s="1">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s="1">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s="1">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s="1">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s="1">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s="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s="1">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s="1">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s="1">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s="1">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s="1">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s="1">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s="1">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s="1">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s="1">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s="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s="1">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s="1">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s="1">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s="1">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s="1">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s="1">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s="1">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s="1">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s="1">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s="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s="1">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s="1">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s="1">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s="1">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s="1">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s="1">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s="1">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s="1">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s="1">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s="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s="1">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s="1">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s="1">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s="1">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s="1">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s="1">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s="1">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s="1">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s="1">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s="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s="1">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s="1">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s="1">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s="1">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s="1">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s="1">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s="1">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s="1">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s="1">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s="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s="1">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s="1">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s="1">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s="1">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s="1">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s="1">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s="1">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s="1">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s="1">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s="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s="1">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s="1">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s="1">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s="1">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s="1">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s="1">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s="1">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s="1">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s="1">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s="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s="1">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s="1">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s="1">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s="1">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s="1">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s="1">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s="1">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s="1">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s="1">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s="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s="1">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s="1">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s="1">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s="1">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s="1">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s="1">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s="1">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s="1">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s="1">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s="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s="1">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s="1">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s="1">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s="1">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s="1">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s="1">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s="1">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s="1">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s="1">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s="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s="1">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s="1">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s="1">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s="1">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s="1">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s="1">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s="1">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s="1">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s="1">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s="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s="1">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s="1">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s="1">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s="1">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s="1">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s="1">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s="1">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s="1">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s="1">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s="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s="1">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s="1">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s="1">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s="1">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s="1">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s="1">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s="1">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s="1">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s="1">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s="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s="1">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s="1">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s="1">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s="1">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s="1">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s="1">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s="1">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s="1">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s="1">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s="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s="1">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s="1">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s="1">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s="1">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s="1">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s="1">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s="1">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s="1">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s="1">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s="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s="1">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s="1">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s="1">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s="1">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s="1">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s="1">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s="1">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s="1">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s="1">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s="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s="1">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s="1">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s="1">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s="1">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s="1">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s="1">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s="1">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s="1">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s="1">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s="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s="1">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s="1">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s="1">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s="1">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s="1">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s="1">
        <v>188.4898</v>
      </c>
      <c r="M1757">
        <v>4.3</v>
      </c>
    </row>
    <row r="1758" spans="1:13" x14ac:dyDescent="0.3">
      <c r="A1758" t="s">
        <v>10</v>
      </c>
      <c r="B1758">
        <v>1757</v>
      </c>
      <c r="C1758" t="s">
        <v>462</v>
      </c>
      <c r="D1758" t="s">
        <v>48</v>
      </c>
      <c r="E1758">
        <v>2011</v>
      </c>
      <c r="F1758" t="s">
        <v>39</v>
      </c>
      <c r="G1758" t="s">
        <v>21</v>
      </c>
      <c r="H1758" t="s">
        <v>30</v>
      </c>
      <c r="I1758" t="s">
        <v>40</v>
      </c>
      <c r="J1758">
        <v>0</v>
      </c>
      <c r="K1758">
        <v>9.5</v>
      </c>
      <c r="L1758" s="1">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s="1">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s="1">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s="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s="1">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s="1">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s="1">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s="1">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s="1">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s="1">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s="1">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s="1">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s="1">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s="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s="1">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s="1">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s="1">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s="1">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s="1">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s="1">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s="1">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s="1">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s="1">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s="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s="1">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s="1">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s="1">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s="1">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s="1">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s="1">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s="1">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s="1">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s="1">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s="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s="1">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s="1">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s="1">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s="1">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s="1">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s="1">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s="1">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s="1">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s="1">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s="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s="1">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s="1">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s="1">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s="1">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s="1">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s="1">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s="1">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s="1">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s="1">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s="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s="1">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s="1">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s="1">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s="1">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s="1">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s="1">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s="1">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s="1">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s="1">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s="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s="1">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s="1">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s="1">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s="1">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s="1">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s="1">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s="1">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s="1">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s="1">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s="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s="1">
        <v>111.286</v>
      </c>
      <c r="M1832">
        <v>4.3</v>
      </c>
    </row>
    <row r="1833" spans="1:13" x14ac:dyDescent="0.3">
      <c r="A1833" t="s">
        <v>17</v>
      </c>
      <c r="B1833">
        <v>1832</v>
      </c>
      <c r="C1833" t="s">
        <v>478</v>
      </c>
      <c r="D1833" t="s">
        <v>95</v>
      </c>
      <c r="E1833">
        <v>2022</v>
      </c>
      <c r="F1833" t="s">
        <v>20</v>
      </c>
      <c r="G1833" t="s">
        <v>21</v>
      </c>
      <c r="H1833" t="s">
        <v>15</v>
      </c>
      <c r="I1833" t="s">
        <v>22</v>
      </c>
      <c r="J1833">
        <v>0</v>
      </c>
      <c r="K1833">
        <v>13.5</v>
      </c>
      <c r="L1833" s="1">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s="1">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s="1">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s="1">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s="1">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s="1">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s="1">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s="1">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s="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s="1">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s="1">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s="1">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s="1">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s="1">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s="1">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s="1">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s="1">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s="1">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s="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s="1">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s="1">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s="1">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s="1">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s="1">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s="1">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s="1">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s="1">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s="1">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s="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s="1">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s="1">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s="1">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s="1">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s="1">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s="1">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s="1">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s="1">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s="1">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s="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s="1">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s="1">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s="1">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s="1">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s="1">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s="1">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s="1">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s="1">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s="1">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s="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s="1">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s="1">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s="1">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s="1">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s="1">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s="1">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s="1">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s="1">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s="1">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s="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s="1">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s="1">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s="1">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s="1">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s="1">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s="1">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s="1">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s="1">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s="1">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s="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s="1">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s="1">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s="1">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s="1">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s="1">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s="1">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s="1">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s="1">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s="1">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s="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K1912"/>
      <c r="L1912" s="1">
        <v>77.995999999999995</v>
      </c>
      <c r="M1912">
        <v>4.3</v>
      </c>
    </row>
    <row r="1913" spans="1:13" x14ac:dyDescent="0.3">
      <c r="A1913" t="s">
        <v>17</v>
      </c>
      <c r="B1913">
        <v>1912</v>
      </c>
      <c r="C1913" t="s">
        <v>1184</v>
      </c>
      <c r="D1913" t="s">
        <v>12</v>
      </c>
      <c r="E1913">
        <v>2018</v>
      </c>
      <c r="F1913" t="s">
        <v>45</v>
      </c>
      <c r="G1913" t="s">
        <v>21</v>
      </c>
      <c r="H1913" t="s">
        <v>15</v>
      </c>
      <c r="I1913" t="s">
        <v>46</v>
      </c>
      <c r="J1913">
        <v>0</v>
      </c>
      <c r="K1913"/>
      <c r="L1913" s="1">
        <v>245.01439999999999</v>
      </c>
      <c r="M1913">
        <v>4.3</v>
      </c>
    </row>
    <row r="1914" spans="1:13" x14ac:dyDescent="0.3">
      <c r="A1914" t="s">
        <v>17</v>
      </c>
      <c r="B1914">
        <v>1913</v>
      </c>
      <c r="C1914" t="s">
        <v>1185</v>
      </c>
      <c r="D1914" t="s">
        <v>12</v>
      </c>
      <c r="E1914">
        <v>2018</v>
      </c>
      <c r="F1914" t="s">
        <v>45</v>
      </c>
      <c r="G1914" t="s">
        <v>21</v>
      </c>
      <c r="H1914" t="s">
        <v>15</v>
      </c>
      <c r="I1914" t="s">
        <v>46</v>
      </c>
      <c r="J1914">
        <v>0.147663025</v>
      </c>
      <c r="K1914"/>
      <c r="L1914" s="1">
        <v>106.02800000000001</v>
      </c>
      <c r="M1914">
        <v>4.3</v>
      </c>
    </row>
    <row r="1915" spans="1:13" x14ac:dyDescent="0.3">
      <c r="A1915" t="s">
        <v>17</v>
      </c>
      <c r="B1915">
        <v>1914</v>
      </c>
      <c r="C1915" t="s">
        <v>1186</v>
      </c>
      <c r="D1915" t="s">
        <v>42</v>
      </c>
      <c r="E1915">
        <v>2018</v>
      </c>
      <c r="F1915" t="s">
        <v>45</v>
      </c>
      <c r="G1915" t="s">
        <v>21</v>
      </c>
      <c r="H1915" t="s">
        <v>15</v>
      </c>
      <c r="I1915" t="s">
        <v>46</v>
      </c>
      <c r="J1915">
        <v>1.1762847E-2</v>
      </c>
      <c r="K1915"/>
      <c r="L1915" s="1">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K1916"/>
      <c r="L1916" s="1">
        <v>143.0812</v>
      </c>
      <c r="M1916">
        <v>4.3</v>
      </c>
    </row>
    <row r="1917" spans="1:13" x14ac:dyDescent="0.3">
      <c r="A1917" t="s">
        <v>17</v>
      </c>
      <c r="B1917">
        <v>1916</v>
      </c>
      <c r="C1917" t="s">
        <v>1187</v>
      </c>
      <c r="D1917" t="s">
        <v>95</v>
      </c>
      <c r="E1917">
        <v>2018</v>
      </c>
      <c r="F1917" t="s">
        <v>45</v>
      </c>
      <c r="G1917" t="s">
        <v>21</v>
      </c>
      <c r="H1917" t="s">
        <v>15</v>
      </c>
      <c r="I1917" t="s">
        <v>46</v>
      </c>
      <c r="J1917">
        <v>5.6161529000000002E-2</v>
      </c>
      <c r="K1917"/>
      <c r="L1917" s="1">
        <v>246.9118</v>
      </c>
      <c r="M1917">
        <v>4.3</v>
      </c>
    </row>
    <row r="1918" spans="1:13" x14ac:dyDescent="0.3">
      <c r="A1918" t="s">
        <v>17</v>
      </c>
      <c r="B1918">
        <v>1917</v>
      </c>
      <c r="C1918" t="s">
        <v>1128</v>
      </c>
      <c r="D1918" t="s">
        <v>95</v>
      </c>
      <c r="E1918">
        <v>2018</v>
      </c>
      <c r="F1918" t="s">
        <v>45</v>
      </c>
      <c r="G1918" t="s">
        <v>21</v>
      </c>
      <c r="H1918" t="s">
        <v>15</v>
      </c>
      <c r="I1918" t="s">
        <v>46</v>
      </c>
      <c r="J1918">
        <v>3.4203091999999997E-2</v>
      </c>
      <c r="K1918"/>
      <c r="L1918" s="1">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K1919"/>
      <c r="L1919" s="1">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K1920"/>
      <c r="L1920" s="1">
        <v>39.950600000000001</v>
      </c>
      <c r="M1920">
        <v>4.3</v>
      </c>
    </row>
    <row r="1921" spans="1:13" x14ac:dyDescent="0.3">
      <c r="A1921" t="s">
        <v>17</v>
      </c>
      <c r="B1921">
        <v>1920</v>
      </c>
      <c r="C1921" t="s">
        <v>1188</v>
      </c>
      <c r="D1921" t="s">
        <v>28</v>
      </c>
      <c r="E1921">
        <v>2018</v>
      </c>
      <c r="F1921" t="s">
        <v>45</v>
      </c>
      <c r="G1921" t="s">
        <v>21</v>
      </c>
      <c r="H1921" t="s">
        <v>15</v>
      </c>
      <c r="I1921" t="s">
        <v>46</v>
      </c>
      <c r="J1921">
        <v>0.116762173</v>
      </c>
      <c r="K1921"/>
      <c r="L1921" s="1">
        <v>198.9768</v>
      </c>
      <c r="M1921">
        <v>4.3</v>
      </c>
    </row>
    <row r="1922" spans="1:13" x14ac:dyDescent="0.3">
      <c r="A1922" t="s">
        <v>17</v>
      </c>
      <c r="B1922">
        <v>1921</v>
      </c>
      <c r="C1922" t="s">
        <v>165</v>
      </c>
      <c r="D1922" t="s">
        <v>28</v>
      </c>
      <c r="E1922">
        <v>2018</v>
      </c>
      <c r="F1922" t="s">
        <v>45</v>
      </c>
      <c r="G1922" t="s">
        <v>21</v>
      </c>
      <c r="H1922" t="s">
        <v>15</v>
      </c>
      <c r="I1922" t="s">
        <v>46</v>
      </c>
      <c r="J1922">
        <v>7.3470233999999995E-2</v>
      </c>
      <c r="K1922"/>
      <c r="L1922" s="1">
        <v>205.3638</v>
      </c>
      <c r="M1922">
        <v>4.3</v>
      </c>
    </row>
    <row r="1923" spans="1:13" x14ac:dyDescent="0.3">
      <c r="A1923" t="s">
        <v>17</v>
      </c>
      <c r="B1923">
        <v>1922</v>
      </c>
      <c r="C1923" t="s">
        <v>1065</v>
      </c>
      <c r="D1923" t="s">
        <v>67</v>
      </c>
      <c r="E1923">
        <v>2018</v>
      </c>
      <c r="F1923" t="s">
        <v>45</v>
      </c>
      <c r="G1923" t="s">
        <v>21</v>
      </c>
      <c r="H1923" t="s">
        <v>15</v>
      </c>
      <c r="I1923" t="s">
        <v>46</v>
      </c>
      <c r="J1923">
        <v>1.769927E-2</v>
      </c>
      <c r="K1923"/>
      <c r="L1923" s="1">
        <v>74.2012</v>
      </c>
      <c r="M1923">
        <v>4.3</v>
      </c>
    </row>
    <row r="1924" spans="1:13" x14ac:dyDescent="0.3">
      <c r="A1924" t="s">
        <v>17</v>
      </c>
      <c r="B1924">
        <v>1923</v>
      </c>
      <c r="C1924" t="s">
        <v>98</v>
      </c>
      <c r="D1924" t="s">
        <v>67</v>
      </c>
      <c r="E1924">
        <v>2018</v>
      </c>
      <c r="F1924" t="s">
        <v>45</v>
      </c>
      <c r="G1924" t="s">
        <v>21</v>
      </c>
      <c r="H1924" t="s">
        <v>15</v>
      </c>
      <c r="I1924" t="s">
        <v>46</v>
      </c>
      <c r="J1924">
        <v>2.8279660000000002E-2</v>
      </c>
      <c r="K1924"/>
      <c r="L1924" s="1">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K1925"/>
      <c r="L1925" s="1">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K1926"/>
      <c r="L1926" s="1">
        <v>214.7534</v>
      </c>
      <c r="M1926">
        <v>4.3</v>
      </c>
    </row>
    <row r="1927" spans="1:13" x14ac:dyDescent="0.3">
      <c r="A1927" t="s">
        <v>17</v>
      </c>
      <c r="B1927">
        <v>1926</v>
      </c>
      <c r="C1927" t="s">
        <v>1189</v>
      </c>
      <c r="D1927" t="s">
        <v>24</v>
      </c>
      <c r="E1927">
        <v>2018</v>
      </c>
      <c r="F1927" t="s">
        <v>45</v>
      </c>
      <c r="G1927" t="s">
        <v>21</v>
      </c>
      <c r="H1927" t="s">
        <v>15</v>
      </c>
      <c r="I1927" t="s">
        <v>46</v>
      </c>
      <c r="J1927">
        <v>0</v>
      </c>
      <c r="K1927"/>
      <c r="L1927" s="1">
        <v>100.7042</v>
      </c>
      <c r="M1927">
        <v>4.3</v>
      </c>
    </row>
    <row r="1928" spans="1:13" x14ac:dyDescent="0.3">
      <c r="A1928" t="s">
        <v>17</v>
      </c>
      <c r="B1928">
        <v>1927</v>
      </c>
      <c r="C1928" t="s">
        <v>556</v>
      </c>
      <c r="D1928" t="s">
        <v>12</v>
      </c>
      <c r="E1928">
        <v>2018</v>
      </c>
      <c r="F1928" t="s">
        <v>45</v>
      </c>
      <c r="G1928" t="s">
        <v>21</v>
      </c>
      <c r="H1928" t="s">
        <v>15</v>
      </c>
      <c r="I1928" t="s">
        <v>46</v>
      </c>
      <c r="J1928">
        <v>3.0952737000000001E-2</v>
      </c>
      <c r="K1928"/>
      <c r="L1928" s="1">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K1929"/>
      <c r="L1929" s="1">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K1930"/>
      <c r="L1930" s="1">
        <v>115.7518</v>
      </c>
      <c r="M1930">
        <v>4.3</v>
      </c>
    </row>
    <row r="1931" spans="1:13" x14ac:dyDescent="0.3">
      <c r="A1931" t="s">
        <v>17</v>
      </c>
      <c r="B1931">
        <v>1930</v>
      </c>
      <c r="C1931" t="s">
        <v>493</v>
      </c>
      <c r="D1931" t="s">
        <v>12</v>
      </c>
      <c r="E1931">
        <v>2018</v>
      </c>
      <c r="F1931" t="s">
        <v>45</v>
      </c>
      <c r="G1931" t="s">
        <v>21</v>
      </c>
      <c r="H1931" t="s">
        <v>15</v>
      </c>
      <c r="I1931" t="s">
        <v>46</v>
      </c>
      <c r="J1931">
        <v>3.5183156E-2</v>
      </c>
      <c r="K1931"/>
      <c r="L1931" s="1">
        <v>37.8506</v>
      </c>
      <c r="M1931">
        <v>4.3</v>
      </c>
    </row>
    <row r="1932" spans="1:13" x14ac:dyDescent="0.3">
      <c r="A1932" t="s">
        <v>17</v>
      </c>
      <c r="B1932">
        <v>1931</v>
      </c>
      <c r="C1932" t="s">
        <v>1191</v>
      </c>
      <c r="D1932" t="s">
        <v>12</v>
      </c>
      <c r="E1932">
        <v>2018</v>
      </c>
      <c r="F1932" t="s">
        <v>45</v>
      </c>
      <c r="G1932" t="s">
        <v>21</v>
      </c>
      <c r="H1932" t="s">
        <v>15</v>
      </c>
      <c r="I1932" t="s">
        <v>46</v>
      </c>
      <c r="J1932">
        <v>2.0614212E-2</v>
      </c>
      <c r="K1932"/>
      <c r="L1932" s="1">
        <v>126.4046</v>
      </c>
      <c r="M1932">
        <v>4.3</v>
      </c>
    </row>
    <row r="1933" spans="1:13" x14ac:dyDescent="0.3">
      <c r="A1933" t="s">
        <v>17</v>
      </c>
      <c r="B1933">
        <v>1932</v>
      </c>
      <c r="C1933" t="s">
        <v>373</v>
      </c>
      <c r="D1933" t="s">
        <v>12</v>
      </c>
      <c r="E1933">
        <v>2018</v>
      </c>
      <c r="F1933" t="s">
        <v>45</v>
      </c>
      <c r="G1933" t="s">
        <v>21</v>
      </c>
      <c r="H1933" t="s">
        <v>15</v>
      </c>
      <c r="I1933" t="s">
        <v>46</v>
      </c>
      <c r="J1933">
        <v>4.9080853000000001E-2</v>
      </c>
      <c r="K1933"/>
      <c r="L1933" s="1">
        <v>147.77340000000001</v>
      </c>
      <c r="M1933">
        <v>4.3</v>
      </c>
    </row>
    <row r="1934" spans="1:13" x14ac:dyDescent="0.3">
      <c r="A1934" t="s">
        <v>17</v>
      </c>
      <c r="B1934">
        <v>1933</v>
      </c>
      <c r="C1934" t="s">
        <v>690</v>
      </c>
      <c r="D1934" t="s">
        <v>12</v>
      </c>
      <c r="E1934">
        <v>2018</v>
      </c>
      <c r="F1934" t="s">
        <v>45</v>
      </c>
      <c r="G1934" t="s">
        <v>21</v>
      </c>
      <c r="H1934" t="s">
        <v>15</v>
      </c>
      <c r="I1934" t="s">
        <v>46</v>
      </c>
      <c r="J1934">
        <v>3.6109413E-2</v>
      </c>
      <c r="K1934"/>
      <c r="L1934" s="1">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K1935"/>
      <c r="L1935" s="1">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K1936"/>
      <c r="L1936" s="1">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K1937"/>
      <c r="L1937" s="1">
        <v>233.9616</v>
      </c>
      <c r="M1937">
        <v>4.3</v>
      </c>
    </row>
    <row r="1938" spans="1:13" x14ac:dyDescent="0.3">
      <c r="A1938" t="s">
        <v>17</v>
      </c>
      <c r="B1938">
        <v>1937</v>
      </c>
      <c r="C1938" t="s">
        <v>326</v>
      </c>
      <c r="D1938" t="s">
        <v>19</v>
      </c>
      <c r="E1938">
        <v>2018</v>
      </c>
      <c r="F1938" t="s">
        <v>45</v>
      </c>
      <c r="G1938" t="s">
        <v>21</v>
      </c>
      <c r="H1938" t="s">
        <v>15</v>
      </c>
      <c r="I1938" t="s">
        <v>46</v>
      </c>
      <c r="J1938">
        <v>0.116366304</v>
      </c>
      <c r="K1938"/>
      <c r="L1938" s="1">
        <v>158.363</v>
      </c>
      <c r="M1938">
        <v>4.3</v>
      </c>
    </row>
    <row r="1939" spans="1:13" x14ac:dyDescent="0.3">
      <c r="A1939" t="s">
        <v>17</v>
      </c>
      <c r="B1939">
        <v>1938</v>
      </c>
      <c r="C1939" t="s">
        <v>76</v>
      </c>
      <c r="D1939" t="s">
        <v>19</v>
      </c>
      <c r="E1939">
        <v>2018</v>
      </c>
      <c r="F1939" t="s">
        <v>45</v>
      </c>
      <c r="G1939" t="s">
        <v>21</v>
      </c>
      <c r="H1939" t="s">
        <v>15</v>
      </c>
      <c r="I1939" t="s">
        <v>46</v>
      </c>
      <c r="J1939">
        <v>1.9386057000000002E-2</v>
      </c>
      <c r="K1939"/>
      <c r="L1939" s="1">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K1940"/>
      <c r="L1940" s="1">
        <v>173.2422</v>
      </c>
      <c r="M1940">
        <v>4.3</v>
      </c>
    </row>
    <row r="1941" spans="1:13" x14ac:dyDescent="0.3">
      <c r="A1941" t="s">
        <v>17</v>
      </c>
      <c r="B1941">
        <v>1940</v>
      </c>
      <c r="C1941" t="s">
        <v>381</v>
      </c>
      <c r="D1941" t="s">
        <v>42</v>
      </c>
      <c r="E1941">
        <v>2018</v>
      </c>
      <c r="F1941" t="s">
        <v>45</v>
      </c>
      <c r="G1941" t="s">
        <v>21</v>
      </c>
      <c r="H1941" t="s">
        <v>15</v>
      </c>
      <c r="I1941" t="s">
        <v>46</v>
      </c>
      <c r="J1941">
        <v>3.4504413999999997E-2</v>
      </c>
      <c r="K1941"/>
      <c r="L1941" s="1">
        <v>125.202</v>
      </c>
      <c r="M1941">
        <v>4.3</v>
      </c>
    </row>
    <row r="1942" spans="1:13" x14ac:dyDescent="0.3">
      <c r="A1942" t="s">
        <v>17</v>
      </c>
      <c r="B1942">
        <v>1941</v>
      </c>
      <c r="C1942" t="s">
        <v>562</v>
      </c>
      <c r="D1942" t="s">
        <v>42</v>
      </c>
      <c r="E1942">
        <v>2018</v>
      </c>
      <c r="F1942" t="s">
        <v>45</v>
      </c>
      <c r="G1942" t="s">
        <v>21</v>
      </c>
      <c r="H1942" t="s">
        <v>15</v>
      </c>
      <c r="I1942" t="s">
        <v>46</v>
      </c>
      <c r="J1942">
        <v>8.2353075999999997E-2</v>
      </c>
      <c r="K1942"/>
      <c r="L1942" s="1">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K1943"/>
      <c r="L1943" s="1">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K1944"/>
      <c r="L1944" s="1">
        <v>105.3622</v>
      </c>
      <c r="M1944">
        <v>4.3</v>
      </c>
    </row>
    <row r="1945" spans="1:13" x14ac:dyDescent="0.3">
      <c r="A1945" t="s">
        <v>17</v>
      </c>
      <c r="B1945">
        <v>1944</v>
      </c>
      <c r="C1945" t="s">
        <v>1102</v>
      </c>
      <c r="D1945" t="s">
        <v>54</v>
      </c>
      <c r="E1945">
        <v>2018</v>
      </c>
      <c r="F1945" t="s">
        <v>45</v>
      </c>
      <c r="G1945" t="s">
        <v>21</v>
      </c>
      <c r="H1945" t="s">
        <v>15</v>
      </c>
      <c r="I1945" t="s">
        <v>46</v>
      </c>
      <c r="J1945">
        <v>5.2085615000000002E-2</v>
      </c>
      <c r="K1945"/>
      <c r="L1945" s="1">
        <v>242.85120000000001</v>
      </c>
      <c r="M1945">
        <v>4.3</v>
      </c>
    </row>
    <row r="1946" spans="1:13" x14ac:dyDescent="0.3">
      <c r="A1946" t="s">
        <v>17</v>
      </c>
      <c r="B1946">
        <v>1945</v>
      </c>
      <c r="C1946" t="s">
        <v>1193</v>
      </c>
      <c r="D1946" t="s">
        <v>54</v>
      </c>
      <c r="E1946">
        <v>2018</v>
      </c>
      <c r="F1946" t="s">
        <v>45</v>
      </c>
      <c r="G1946" t="s">
        <v>21</v>
      </c>
      <c r="H1946" t="s">
        <v>15</v>
      </c>
      <c r="I1946" t="s">
        <v>46</v>
      </c>
      <c r="J1946">
        <v>2.6933321E-2</v>
      </c>
      <c r="K1946"/>
      <c r="L1946" s="1">
        <v>78.466999999999999</v>
      </c>
      <c r="M1946">
        <v>4.3</v>
      </c>
    </row>
    <row r="1947" spans="1:13" x14ac:dyDescent="0.3">
      <c r="A1947" t="s">
        <v>17</v>
      </c>
      <c r="B1947">
        <v>1946</v>
      </c>
      <c r="C1947" t="s">
        <v>151</v>
      </c>
      <c r="D1947" t="s">
        <v>54</v>
      </c>
      <c r="E1947">
        <v>2018</v>
      </c>
      <c r="F1947" t="s">
        <v>45</v>
      </c>
      <c r="G1947" t="s">
        <v>21</v>
      </c>
      <c r="H1947" t="s">
        <v>15</v>
      </c>
      <c r="I1947" t="s">
        <v>46</v>
      </c>
      <c r="J1947">
        <v>1.6653022E-2</v>
      </c>
      <c r="K1947"/>
      <c r="L1947" s="1">
        <v>139.518</v>
      </c>
      <c r="M1947">
        <v>4.3</v>
      </c>
    </row>
    <row r="1948" spans="1:13" x14ac:dyDescent="0.3">
      <c r="A1948" t="s">
        <v>17</v>
      </c>
      <c r="B1948">
        <v>1947</v>
      </c>
      <c r="C1948" t="s">
        <v>897</v>
      </c>
      <c r="D1948" t="s">
        <v>54</v>
      </c>
      <c r="E1948">
        <v>2018</v>
      </c>
      <c r="F1948" t="s">
        <v>45</v>
      </c>
      <c r="G1948" t="s">
        <v>21</v>
      </c>
      <c r="H1948" t="s">
        <v>15</v>
      </c>
      <c r="I1948" t="s">
        <v>46</v>
      </c>
      <c r="J1948">
        <v>8.3536071000000003E-2</v>
      </c>
      <c r="K1948"/>
      <c r="L1948" s="1">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K1949"/>
      <c r="L1949" s="1">
        <v>189.9846</v>
      </c>
      <c r="M1949">
        <v>4.3</v>
      </c>
    </row>
    <row r="1950" spans="1:13" x14ac:dyDescent="0.3">
      <c r="A1950" t="s">
        <v>17</v>
      </c>
      <c r="B1950">
        <v>1949</v>
      </c>
      <c r="C1950" t="s">
        <v>243</v>
      </c>
      <c r="D1950" t="s">
        <v>54</v>
      </c>
      <c r="E1950">
        <v>2018</v>
      </c>
      <c r="F1950" t="s">
        <v>45</v>
      </c>
      <c r="G1950" t="s">
        <v>21</v>
      </c>
      <c r="H1950" t="s">
        <v>15</v>
      </c>
      <c r="I1950" t="s">
        <v>46</v>
      </c>
      <c r="J1950">
        <v>9.9503430000000004E-3</v>
      </c>
      <c r="K1950"/>
      <c r="L1950" s="1">
        <v>185.5608</v>
      </c>
      <c r="M1950">
        <v>4.3</v>
      </c>
    </row>
    <row r="1951" spans="1:13" x14ac:dyDescent="0.3">
      <c r="A1951" t="s">
        <v>17</v>
      </c>
      <c r="B1951">
        <v>1950</v>
      </c>
      <c r="C1951" t="s">
        <v>176</v>
      </c>
      <c r="D1951" t="s">
        <v>54</v>
      </c>
      <c r="E1951">
        <v>2018</v>
      </c>
      <c r="F1951" t="s">
        <v>45</v>
      </c>
      <c r="G1951" t="s">
        <v>21</v>
      </c>
      <c r="H1951" t="s">
        <v>15</v>
      </c>
      <c r="I1951" t="s">
        <v>46</v>
      </c>
      <c r="J1951">
        <v>3.2381325000000002E-2</v>
      </c>
      <c r="K1951"/>
      <c r="L1951" s="1">
        <v>166.1842</v>
      </c>
      <c r="M1951">
        <v>4.3</v>
      </c>
    </row>
    <row r="1952" spans="1:13" x14ac:dyDescent="0.3">
      <c r="A1952" t="s">
        <v>17</v>
      </c>
      <c r="B1952">
        <v>1951</v>
      </c>
      <c r="C1952" t="s">
        <v>973</v>
      </c>
      <c r="D1952" t="s">
        <v>54</v>
      </c>
      <c r="E1952">
        <v>2018</v>
      </c>
      <c r="F1952" t="s">
        <v>45</v>
      </c>
      <c r="G1952" t="s">
        <v>21</v>
      </c>
      <c r="H1952" t="s">
        <v>15</v>
      </c>
      <c r="I1952" t="s">
        <v>46</v>
      </c>
      <c r="J1952">
        <v>8.0741927000000005E-2</v>
      </c>
      <c r="K1952"/>
      <c r="L1952" s="1">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K1953"/>
      <c r="L1953" s="1">
        <v>164.321</v>
      </c>
      <c r="M1953">
        <v>4.3</v>
      </c>
    </row>
    <row r="1954" spans="1:13" x14ac:dyDescent="0.3">
      <c r="A1954" t="s">
        <v>17</v>
      </c>
      <c r="B1954">
        <v>1953</v>
      </c>
      <c r="C1954" t="s">
        <v>1195</v>
      </c>
      <c r="D1954" t="s">
        <v>48</v>
      </c>
      <c r="E1954">
        <v>2018</v>
      </c>
      <c r="F1954" t="s">
        <v>45</v>
      </c>
      <c r="G1954" t="s">
        <v>21</v>
      </c>
      <c r="H1954" t="s">
        <v>15</v>
      </c>
      <c r="I1954" t="s">
        <v>46</v>
      </c>
      <c r="J1954">
        <v>8.8839949000000001E-2</v>
      </c>
      <c r="K1954"/>
      <c r="L1954" s="1">
        <v>254.2672</v>
      </c>
      <c r="M1954">
        <v>4.3</v>
      </c>
    </row>
    <row r="1955" spans="1:13" x14ac:dyDescent="0.3">
      <c r="A1955" t="s">
        <v>17</v>
      </c>
      <c r="B1955">
        <v>1954</v>
      </c>
      <c r="C1955" t="s">
        <v>1196</v>
      </c>
      <c r="D1955" t="s">
        <v>48</v>
      </c>
      <c r="E1955">
        <v>2018</v>
      </c>
      <c r="F1955" t="s">
        <v>45</v>
      </c>
      <c r="G1955" t="s">
        <v>21</v>
      </c>
      <c r="H1955" t="s">
        <v>15</v>
      </c>
      <c r="I1955" t="s">
        <v>46</v>
      </c>
      <c r="J1955">
        <v>0.17025446899999999</v>
      </c>
      <c r="K1955"/>
      <c r="L1955" s="1">
        <v>124.8704</v>
      </c>
      <c r="M1955">
        <v>4.3</v>
      </c>
    </row>
    <row r="1956" spans="1:13" x14ac:dyDescent="0.3">
      <c r="A1956" t="s">
        <v>17</v>
      </c>
      <c r="B1956">
        <v>1955</v>
      </c>
      <c r="C1956" t="s">
        <v>1166</v>
      </c>
      <c r="D1956" t="s">
        <v>32</v>
      </c>
      <c r="E1956">
        <v>2018</v>
      </c>
      <c r="F1956" t="s">
        <v>45</v>
      </c>
      <c r="G1956" t="s">
        <v>21</v>
      </c>
      <c r="H1956" t="s">
        <v>15</v>
      </c>
      <c r="I1956" t="s">
        <v>46</v>
      </c>
      <c r="J1956">
        <v>7.8589628999999994E-2</v>
      </c>
      <c r="K1956"/>
      <c r="L1956" s="1">
        <v>113.286</v>
      </c>
      <c r="M1956">
        <v>4.3</v>
      </c>
    </row>
    <row r="1957" spans="1:13" x14ac:dyDescent="0.3">
      <c r="A1957" t="s">
        <v>17</v>
      </c>
      <c r="B1957">
        <v>1956</v>
      </c>
      <c r="C1957" t="s">
        <v>197</v>
      </c>
      <c r="D1957" t="s">
        <v>32</v>
      </c>
      <c r="E1957">
        <v>2018</v>
      </c>
      <c r="F1957" t="s">
        <v>45</v>
      </c>
      <c r="G1957" t="s">
        <v>21</v>
      </c>
      <c r="H1957" t="s">
        <v>15</v>
      </c>
      <c r="I1957" t="s">
        <v>46</v>
      </c>
      <c r="J1957">
        <v>7.2928316000000007E-2</v>
      </c>
      <c r="K1957"/>
      <c r="L1957" s="1">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K1958"/>
      <c r="L1958" s="1">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K1959"/>
      <c r="L1959" s="1">
        <v>164.7526</v>
      </c>
      <c r="M1959">
        <v>4.3</v>
      </c>
    </row>
    <row r="1960" spans="1:13" x14ac:dyDescent="0.3">
      <c r="A1960" t="s">
        <v>17</v>
      </c>
      <c r="B1960">
        <v>1959</v>
      </c>
      <c r="C1960" t="s">
        <v>355</v>
      </c>
      <c r="D1960" t="s">
        <v>32</v>
      </c>
      <c r="E1960">
        <v>2018</v>
      </c>
      <c r="F1960" t="s">
        <v>45</v>
      </c>
      <c r="G1960" t="s">
        <v>21</v>
      </c>
      <c r="H1960" t="s">
        <v>15</v>
      </c>
      <c r="I1960" t="s">
        <v>46</v>
      </c>
      <c r="J1960">
        <v>0.114609875</v>
      </c>
      <c r="K1960"/>
      <c r="L1960" s="1">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K1961"/>
      <c r="L1961" s="1">
        <v>145.84440000000001</v>
      </c>
      <c r="M1961">
        <v>4.3</v>
      </c>
    </row>
    <row r="1962" spans="1:13" x14ac:dyDescent="0.3">
      <c r="A1962" t="s">
        <v>10</v>
      </c>
      <c r="B1962">
        <v>1961</v>
      </c>
      <c r="C1962" t="s">
        <v>936</v>
      </c>
      <c r="D1962" t="s">
        <v>57</v>
      </c>
      <c r="E1962">
        <v>2018</v>
      </c>
      <c r="F1962" t="s">
        <v>45</v>
      </c>
      <c r="G1962" t="s">
        <v>21</v>
      </c>
      <c r="H1962" t="s">
        <v>15</v>
      </c>
      <c r="I1962" t="s">
        <v>46</v>
      </c>
      <c r="J1962">
        <v>4.368089E-2</v>
      </c>
      <c r="K1962"/>
      <c r="L1962" s="1">
        <v>110.157</v>
      </c>
      <c r="M1962">
        <v>4.3</v>
      </c>
    </row>
    <row r="1963" spans="1:13" x14ac:dyDescent="0.3">
      <c r="A1963" t="s">
        <v>10</v>
      </c>
      <c r="B1963">
        <v>1962</v>
      </c>
      <c r="C1963" t="s">
        <v>983</v>
      </c>
      <c r="D1963" t="s">
        <v>57</v>
      </c>
      <c r="E1963">
        <v>2018</v>
      </c>
      <c r="F1963" t="s">
        <v>45</v>
      </c>
      <c r="G1963" t="s">
        <v>21</v>
      </c>
      <c r="H1963" t="s">
        <v>15</v>
      </c>
      <c r="I1963" t="s">
        <v>46</v>
      </c>
      <c r="J1963">
        <v>2.2170591999999999E-2</v>
      </c>
      <c r="K1963"/>
      <c r="L1963" s="1">
        <v>105.199</v>
      </c>
      <c r="M1963">
        <v>4.3</v>
      </c>
    </row>
    <row r="1964" spans="1:13" x14ac:dyDescent="0.3">
      <c r="A1964" t="s">
        <v>10</v>
      </c>
      <c r="B1964">
        <v>1963</v>
      </c>
      <c r="C1964" t="s">
        <v>160</v>
      </c>
      <c r="D1964" t="s">
        <v>28</v>
      </c>
      <c r="E1964">
        <v>2018</v>
      </c>
      <c r="F1964" t="s">
        <v>45</v>
      </c>
      <c r="G1964" t="s">
        <v>21</v>
      </c>
      <c r="H1964" t="s">
        <v>15</v>
      </c>
      <c r="I1964" t="s">
        <v>46</v>
      </c>
      <c r="J1964">
        <v>0</v>
      </c>
      <c r="K1964"/>
      <c r="L1964" s="1">
        <v>100.3674</v>
      </c>
      <c r="M1964">
        <v>4.3</v>
      </c>
    </row>
    <row r="1965" spans="1:13" x14ac:dyDescent="0.3">
      <c r="A1965" t="s">
        <v>10</v>
      </c>
      <c r="B1965">
        <v>1964</v>
      </c>
      <c r="C1965" t="s">
        <v>775</v>
      </c>
      <c r="D1965" t="s">
        <v>28</v>
      </c>
      <c r="E1965">
        <v>2018</v>
      </c>
      <c r="F1965" t="s">
        <v>45</v>
      </c>
      <c r="G1965" t="s">
        <v>21</v>
      </c>
      <c r="H1965" t="s">
        <v>15</v>
      </c>
      <c r="I1965" t="s">
        <v>46</v>
      </c>
      <c r="J1965">
        <v>1.1937183000000001E-2</v>
      </c>
      <c r="K1965"/>
      <c r="L1965" s="1">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K1966"/>
      <c r="L1966" s="1">
        <v>112.7176</v>
      </c>
      <c r="M1966">
        <v>4.3</v>
      </c>
    </row>
    <row r="1967" spans="1:13" x14ac:dyDescent="0.3">
      <c r="A1967" t="s">
        <v>10</v>
      </c>
      <c r="B1967">
        <v>1966</v>
      </c>
      <c r="C1967" t="s">
        <v>1005</v>
      </c>
      <c r="D1967" t="s">
        <v>24</v>
      </c>
      <c r="E1967">
        <v>2018</v>
      </c>
      <c r="F1967" t="s">
        <v>45</v>
      </c>
      <c r="G1967" t="s">
        <v>21</v>
      </c>
      <c r="H1967" t="s">
        <v>15</v>
      </c>
      <c r="I1967" t="s">
        <v>46</v>
      </c>
      <c r="J1967">
        <v>8.6837543000000003E-2</v>
      </c>
      <c r="K1967"/>
      <c r="L1967" s="1">
        <v>106.2306</v>
      </c>
      <c r="M1967">
        <v>4.3</v>
      </c>
    </row>
    <row r="1968" spans="1:13" x14ac:dyDescent="0.3">
      <c r="A1968" t="s">
        <v>10</v>
      </c>
      <c r="B1968">
        <v>1967</v>
      </c>
      <c r="C1968" t="s">
        <v>678</v>
      </c>
      <c r="D1968" t="s">
        <v>12</v>
      </c>
      <c r="E1968">
        <v>2018</v>
      </c>
      <c r="F1968" t="s">
        <v>45</v>
      </c>
      <c r="G1968" t="s">
        <v>21</v>
      </c>
      <c r="H1968" t="s">
        <v>15</v>
      </c>
      <c r="I1968" t="s">
        <v>46</v>
      </c>
      <c r="J1968">
        <v>4.9842613000000001E-2</v>
      </c>
      <c r="K1968"/>
      <c r="L1968" s="1">
        <v>164.2526</v>
      </c>
      <c r="M1968">
        <v>4.3</v>
      </c>
    </row>
    <row r="1969" spans="1:13" x14ac:dyDescent="0.3">
      <c r="A1969" t="s">
        <v>10</v>
      </c>
      <c r="B1969">
        <v>1968</v>
      </c>
      <c r="C1969" t="s">
        <v>1011</v>
      </c>
      <c r="D1969" t="s">
        <v>12</v>
      </c>
      <c r="E1969">
        <v>2018</v>
      </c>
      <c r="F1969" t="s">
        <v>45</v>
      </c>
      <c r="G1969" t="s">
        <v>21</v>
      </c>
      <c r="H1969" t="s">
        <v>15</v>
      </c>
      <c r="I1969" t="s">
        <v>46</v>
      </c>
      <c r="J1969">
        <v>8.6983590999999999E-2</v>
      </c>
      <c r="K1969"/>
      <c r="L1969" s="1">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K1970"/>
      <c r="L1970" s="1">
        <v>89.785600000000002</v>
      </c>
      <c r="M1970">
        <v>4.3</v>
      </c>
    </row>
    <row r="1971" spans="1:13" x14ac:dyDescent="0.3">
      <c r="A1971" t="s">
        <v>10</v>
      </c>
      <c r="B1971">
        <v>1970</v>
      </c>
      <c r="C1971" t="s">
        <v>1199</v>
      </c>
      <c r="D1971" t="s">
        <v>54</v>
      </c>
      <c r="E1971">
        <v>2018</v>
      </c>
      <c r="F1971" t="s">
        <v>45</v>
      </c>
      <c r="G1971" t="s">
        <v>21</v>
      </c>
      <c r="H1971" t="s">
        <v>15</v>
      </c>
      <c r="I1971" t="s">
        <v>46</v>
      </c>
      <c r="J1971">
        <v>2.6949463E-2</v>
      </c>
      <c r="K1971"/>
      <c r="L1971" s="1">
        <v>197.71100000000001</v>
      </c>
      <c r="M1971">
        <v>4.3</v>
      </c>
    </row>
    <row r="1972" spans="1:13" x14ac:dyDescent="0.3">
      <c r="A1972" t="s">
        <v>10</v>
      </c>
      <c r="B1972">
        <v>1971</v>
      </c>
      <c r="C1972" t="s">
        <v>1200</v>
      </c>
      <c r="D1972" t="s">
        <v>54</v>
      </c>
      <c r="E1972">
        <v>2018</v>
      </c>
      <c r="F1972" t="s">
        <v>45</v>
      </c>
      <c r="G1972" t="s">
        <v>21</v>
      </c>
      <c r="H1972" t="s">
        <v>15</v>
      </c>
      <c r="I1972" t="s">
        <v>46</v>
      </c>
      <c r="J1972">
        <v>0.178210285</v>
      </c>
      <c r="K1972"/>
      <c r="L1972" s="1">
        <v>95.775199999999998</v>
      </c>
      <c r="M1972">
        <v>4.3</v>
      </c>
    </row>
    <row r="1973" spans="1:13" x14ac:dyDescent="0.3">
      <c r="A1973" t="s">
        <v>10</v>
      </c>
      <c r="B1973">
        <v>1972</v>
      </c>
      <c r="C1973" t="s">
        <v>1201</v>
      </c>
      <c r="D1973" t="s">
        <v>48</v>
      </c>
      <c r="E1973">
        <v>2018</v>
      </c>
      <c r="F1973" t="s">
        <v>45</v>
      </c>
      <c r="G1973" t="s">
        <v>21</v>
      </c>
      <c r="H1973" t="s">
        <v>15</v>
      </c>
      <c r="I1973" t="s">
        <v>46</v>
      </c>
      <c r="J1973">
        <v>8.7894475E-2</v>
      </c>
      <c r="K1973"/>
      <c r="L1973" s="1">
        <v>121.173</v>
      </c>
      <c r="M1973">
        <v>4.3</v>
      </c>
    </row>
    <row r="1974" spans="1:13" x14ac:dyDescent="0.3">
      <c r="A1974" t="s">
        <v>10</v>
      </c>
      <c r="B1974">
        <v>1973</v>
      </c>
      <c r="C1974" t="s">
        <v>839</v>
      </c>
      <c r="D1974" t="s">
        <v>48</v>
      </c>
      <c r="E1974">
        <v>2018</v>
      </c>
      <c r="F1974" t="s">
        <v>45</v>
      </c>
      <c r="G1974" t="s">
        <v>21</v>
      </c>
      <c r="H1974" t="s">
        <v>15</v>
      </c>
      <c r="I1974" t="s">
        <v>46</v>
      </c>
      <c r="J1974">
        <v>2.5795293E-2</v>
      </c>
      <c r="K1974"/>
      <c r="L1974" s="1">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K1975"/>
      <c r="L1975" s="1">
        <v>95.641000000000005</v>
      </c>
      <c r="M1975">
        <v>4.3</v>
      </c>
    </row>
    <row r="1976" spans="1:13" x14ac:dyDescent="0.3">
      <c r="A1976" t="s">
        <v>10</v>
      </c>
      <c r="B1976">
        <v>1975</v>
      </c>
      <c r="C1976" t="s">
        <v>1164</v>
      </c>
      <c r="D1976" t="s">
        <v>32</v>
      </c>
      <c r="E1976">
        <v>2018</v>
      </c>
      <c r="F1976" t="s">
        <v>45</v>
      </c>
      <c r="G1976" t="s">
        <v>21</v>
      </c>
      <c r="H1976" t="s">
        <v>15</v>
      </c>
      <c r="I1976" t="s">
        <v>46</v>
      </c>
      <c r="J1976">
        <v>0.112119359</v>
      </c>
      <c r="K1976"/>
      <c r="L1976" s="1">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s="1">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s="1">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s="1">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s="1">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s="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s="1">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K1983"/>
      <c r="L1983" s="1">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s="1">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s="1">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s="1">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s="1">
        <v>105.1622</v>
      </c>
      <c r="M1987">
        <v>4.2</v>
      </c>
    </row>
    <row r="1988" spans="1:13" x14ac:dyDescent="0.3">
      <c r="A1988" t="s">
        <v>10</v>
      </c>
      <c r="B1988">
        <v>1987</v>
      </c>
      <c r="C1988" t="s">
        <v>901</v>
      </c>
      <c r="D1988" t="s">
        <v>24</v>
      </c>
      <c r="E1988">
        <v>2017</v>
      </c>
      <c r="F1988" t="s">
        <v>50</v>
      </c>
      <c r="G1988" t="s">
        <v>34</v>
      </c>
      <c r="H1988" t="s">
        <v>26</v>
      </c>
      <c r="I1988" t="s">
        <v>16</v>
      </c>
      <c r="J1988">
        <v>0</v>
      </c>
      <c r="K1988">
        <v>14</v>
      </c>
      <c r="L1988" s="1">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s="1">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K1990"/>
      <c r="L1990" s="1">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s="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s="1">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s="1">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s="1">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s="1">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s="1">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s="1">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s="1">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s="1">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s="1">
        <v>104.4332</v>
      </c>
      <c r="M2000">
        <v>4.2</v>
      </c>
    </row>
    <row r="2001" spans="1:13" x14ac:dyDescent="0.3">
      <c r="A2001" t="s">
        <v>17</v>
      </c>
      <c r="B2001">
        <v>2000</v>
      </c>
      <c r="C2001" t="s">
        <v>1212</v>
      </c>
      <c r="D2001" t="s">
        <v>48</v>
      </c>
      <c r="E2001">
        <v>2018</v>
      </c>
      <c r="F2001" t="s">
        <v>138</v>
      </c>
      <c r="G2001" t="s">
        <v>14</v>
      </c>
      <c r="H2001" t="s">
        <v>26</v>
      </c>
      <c r="I2001" t="s">
        <v>40</v>
      </c>
      <c r="J2001">
        <v>9.2463920000000005E-2</v>
      </c>
      <c r="K2001"/>
      <c r="L2001" s="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s="1">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s="1">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K2004"/>
      <c r="L2004" s="1">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K2005"/>
      <c r="L2005" s="1">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s="1">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s="1">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s="1">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s="1">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s="1">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K2011"/>
      <c r="L2011" s="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s="1">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s="1">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s="1">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s="1">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s="1">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s="1">
        <v>49.203400000000002</v>
      </c>
      <c r="M2017">
        <v>4.2</v>
      </c>
    </row>
    <row r="2018" spans="1:13" x14ac:dyDescent="0.3">
      <c r="A2018" t="s">
        <v>10</v>
      </c>
      <c r="B2018">
        <v>2017</v>
      </c>
      <c r="C2018" t="s">
        <v>1218</v>
      </c>
      <c r="D2018" t="s">
        <v>28</v>
      </c>
      <c r="E2018">
        <v>2018</v>
      </c>
      <c r="F2018" t="s">
        <v>138</v>
      </c>
      <c r="G2018" t="s">
        <v>14</v>
      </c>
      <c r="H2018" t="s">
        <v>26</v>
      </c>
      <c r="I2018" t="s">
        <v>40</v>
      </c>
      <c r="J2018">
        <v>0</v>
      </c>
      <c r="K2018"/>
      <c r="L2018" s="1">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s="1">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K2020"/>
      <c r="L2020" s="1">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s="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K2022"/>
      <c r="L2022" s="1">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s="1">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s="1">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s="1">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s="1">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s="1">
        <v>226.84039999999999</v>
      </c>
      <c r="M2027">
        <v>4.2</v>
      </c>
    </row>
    <row r="2028" spans="1:13" x14ac:dyDescent="0.3">
      <c r="A2028" t="s">
        <v>17</v>
      </c>
      <c r="B2028">
        <v>2027</v>
      </c>
      <c r="C2028" t="s">
        <v>753</v>
      </c>
      <c r="D2028" t="s">
        <v>42</v>
      </c>
      <c r="E2028">
        <v>2018</v>
      </c>
      <c r="F2028" t="s">
        <v>138</v>
      </c>
      <c r="G2028" t="s">
        <v>14</v>
      </c>
      <c r="H2028" t="s">
        <v>26</v>
      </c>
      <c r="I2028" t="s">
        <v>40</v>
      </c>
      <c r="J2028">
        <v>0.164864915</v>
      </c>
      <c r="K2028"/>
      <c r="L2028" s="1">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s="1">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s="1">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s="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s="1">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K2033"/>
      <c r="L2033" s="1">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s="1">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s="1">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s="1">
        <v>115.18340000000001</v>
      </c>
      <c r="M2036">
        <v>4.2</v>
      </c>
    </row>
    <row r="2037" spans="1:13" x14ac:dyDescent="0.3">
      <c r="A2037" t="s">
        <v>10</v>
      </c>
      <c r="B2037">
        <v>2036</v>
      </c>
      <c r="C2037" t="s">
        <v>310</v>
      </c>
      <c r="D2037" t="s">
        <v>95</v>
      </c>
      <c r="E2037">
        <v>2018</v>
      </c>
      <c r="F2037" t="s">
        <v>45</v>
      </c>
      <c r="G2037" t="s">
        <v>21</v>
      </c>
      <c r="H2037" t="s">
        <v>15</v>
      </c>
      <c r="I2037" t="s">
        <v>46</v>
      </c>
      <c r="J2037">
        <v>2.4776026E-2</v>
      </c>
      <c r="K2037"/>
      <c r="L2037" s="1">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s="1">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s="1">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s="1">
        <v>116.2492</v>
      </c>
      <c r="M2040">
        <v>4.2</v>
      </c>
    </row>
    <row r="2041" spans="1:13" x14ac:dyDescent="0.3">
      <c r="A2041" t="s">
        <v>10</v>
      </c>
      <c r="B2041">
        <v>2040</v>
      </c>
      <c r="C2041" t="s">
        <v>962</v>
      </c>
      <c r="D2041" t="s">
        <v>12</v>
      </c>
      <c r="E2041">
        <v>2018</v>
      </c>
      <c r="F2041" t="s">
        <v>45</v>
      </c>
      <c r="G2041" t="s">
        <v>21</v>
      </c>
      <c r="H2041" t="s">
        <v>15</v>
      </c>
      <c r="I2041" t="s">
        <v>46</v>
      </c>
      <c r="J2041">
        <v>5.8142797000000003E-2</v>
      </c>
      <c r="K2041"/>
      <c r="L2041" s="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s="1">
        <v>49.169199999999996</v>
      </c>
      <c r="M2042">
        <v>4.2</v>
      </c>
    </row>
    <row r="2043" spans="1:13" x14ac:dyDescent="0.3">
      <c r="A2043" t="s">
        <v>10</v>
      </c>
      <c r="B2043">
        <v>2042</v>
      </c>
      <c r="C2043" t="s">
        <v>1225</v>
      </c>
      <c r="D2043" t="s">
        <v>12</v>
      </c>
      <c r="E2043">
        <v>2018</v>
      </c>
      <c r="F2043" t="s">
        <v>45</v>
      </c>
      <c r="G2043" t="s">
        <v>21</v>
      </c>
      <c r="H2043" t="s">
        <v>15</v>
      </c>
      <c r="I2043" t="s">
        <v>46</v>
      </c>
      <c r="J2043">
        <v>0.109459733</v>
      </c>
      <c r="K2043"/>
      <c r="L2043" s="1">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s="1">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s="1">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s="1">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s="1">
        <v>126.1704</v>
      </c>
      <c r="M2047">
        <v>4.2</v>
      </c>
    </row>
    <row r="2048" spans="1:13" x14ac:dyDescent="0.3">
      <c r="A2048" t="s">
        <v>10</v>
      </c>
      <c r="B2048">
        <v>2047</v>
      </c>
      <c r="C2048" t="s">
        <v>1228</v>
      </c>
      <c r="D2048" t="s">
        <v>24</v>
      </c>
      <c r="E2048">
        <v>2018</v>
      </c>
      <c r="F2048" t="s">
        <v>45</v>
      </c>
      <c r="G2048" t="s">
        <v>21</v>
      </c>
      <c r="H2048" t="s">
        <v>15</v>
      </c>
      <c r="I2048" t="s">
        <v>46</v>
      </c>
      <c r="J2048">
        <v>0.13093274999999999</v>
      </c>
      <c r="K2048"/>
      <c r="L2048" s="1">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s="1">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s="1">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s="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s="1">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s="1">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s="1">
        <v>227.072</v>
      </c>
      <c r="M2054">
        <v>4.2</v>
      </c>
    </row>
    <row r="2055" spans="1:13" x14ac:dyDescent="0.3">
      <c r="A2055" t="s">
        <v>17</v>
      </c>
      <c r="B2055">
        <v>2054</v>
      </c>
      <c r="C2055" t="s">
        <v>692</v>
      </c>
      <c r="D2055" t="s">
        <v>42</v>
      </c>
      <c r="E2055">
        <v>2012</v>
      </c>
      <c r="F2055" t="s">
        <v>13</v>
      </c>
      <c r="G2055" t="s">
        <v>14</v>
      </c>
      <c r="H2055" t="s">
        <v>15</v>
      </c>
      <c r="I2055" t="s">
        <v>16</v>
      </c>
      <c r="J2055">
        <v>0</v>
      </c>
      <c r="K2055">
        <v>8.93</v>
      </c>
      <c r="L2055" s="1">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s="1">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s="1">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s="1">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s="1">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s="1">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s="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s="1">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s="1">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s="1">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s="1">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s="1">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s="1">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s="1">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s="1">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s="1">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s="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s="1">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s="1">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s="1">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s="1">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s="1">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s="1">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s="1">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s="1">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s="1">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s="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s="1">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s="1">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s="1">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s="1">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s="1">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s="1">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s="1">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s="1">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s="1">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s="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s="1">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s="1">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s="1">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s="1">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s="1">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s="1">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s="1">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s="1">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s="1">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s="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s="1">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s="1">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s="1">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s="1">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s="1">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s="1">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s="1">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s="1">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s="1">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s="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s="1">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s="1">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s="1">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s="1">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s="1">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s="1">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s="1">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s="1">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s="1">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s="1">
        <v>144.67859999999999</v>
      </c>
      <c r="M2121">
        <v>4.2</v>
      </c>
    </row>
    <row r="2122" spans="1:13" x14ac:dyDescent="0.3">
      <c r="A2122" t="s">
        <v>17</v>
      </c>
      <c r="B2122">
        <v>2121</v>
      </c>
      <c r="C2122" t="s">
        <v>1042</v>
      </c>
      <c r="D2122" t="s">
        <v>48</v>
      </c>
      <c r="E2122">
        <v>2018</v>
      </c>
      <c r="F2122" t="s">
        <v>138</v>
      </c>
      <c r="G2122" t="s">
        <v>14</v>
      </c>
      <c r="H2122" t="s">
        <v>26</v>
      </c>
      <c r="I2122" t="s">
        <v>40</v>
      </c>
      <c r="J2122">
        <v>0.213125482</v>
      </c>
      <c r="K2122"/>
      <c r="L2122" s="1">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K2123"/>
      <c r="L2123" s="1">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K2124"/>
      <c r="L2124" s="1">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K2125"/>
      <c r="L2125" s="1">
        <v>107.4622</v>
      </c>
      <c r="M2125">
        <v>4.2</v>
      </c>
    </row>
    <row r="2126" spans="1:13" x14ac:dyDescent="0.3">
      <c r="A2126" t="s">
        <v>17</v>
      </c>
      <c r="B2126">
        <v>2125</v>
      </c>
      <c r="C2126" t="s">
        <v>746</v>
      </c>
      <c r="D2126" t="s">
        <v>57</v>
      </c>
      <c r="E2126">
        <v>2018</v>
      </c>
      <c r="F2126" t="s">
        <v>138</v>
      </c>
      <c r="G2126" t="s">
        <v>14</v>
      </c>
      <c r="H2126" t="s">
        <v>26</v>
      </c>
      <c r="I2126" t="s">
        <v>40</v>
      </c>
      <c r="J2126">
        <v>0.14319938900000001</v>
      </c>
      <c r="K2126"/>
      <c r="L2126" s="1">
        <v>175.83699999999999</v>
      </c>
      <c r="M2126">
        <v>4.2</v>
      </c>
    </row>
    <row r="2127" spans="1:13" x14ac:dyDescent="0.3">
      <c r="A2127" t="s">
        <v>17</v>
      </c>
      <c r="B2127">
        <v>2126</v>
      </c>
      <c r="C2127" t="s">
        <v>705</v>
      </c>
      <c r="D2127" t="s">
        <v>28</v>
      </c>
      <c r="E2127">
        <v>2018</v>
      </c>
      <c r="F2127" t="s">
        <v>138</v>
      </c>
      <c r="G2127" t="s">
        <v>14</v>
      </c>
      <c r="H2127" t="s">
        <v>26</v>
      </c>
      <c r="I2127" t="s">
        <v>40</v>
      </c>
      <c r="J2127">
        <v>0.137539574</v>
      </c>
      <c r="K2127"/>
      <c r="L2127" s="1">
        <v>38.8506</v>
      </c>
      <c r="M2127">
        <v>4.2</v>
      </c>
    </row>
    <row r="2128" spans="1:13" x14ac:dyDescent="0.3">
      <c r="A2128" t="s">
        <v>17</v>
      </c>
      <c r="B2128">
        <v>2127</v>
      </c>
      <c r="C2128" t="s">
        <v>163</v>
      </c>
      <c r="D2128" t="s">
        <v>28</v>
      </c>
      <c r="E2128">
        <v>2018</v>
      </c>
      <c r="F2128" t="s">
        <v>138</v>
      </c>
      <c r="G2128" t="s">
        <v>14</v>
      </c>
      <c r="H2128" t="s">
        <v>26</v>
      </c>
      <c r="I2128" t="s">
        <v>40</v>
      </c>
      <c r="J2128">
        <v>1.8275994E-2</v>
      </c>
      <c r="K2128"/>
      <c r="L2128" s="1">
        <v>115.2808</v>
      </c>
      <c r="M2128">
        <v>4.2</v>
      </c>
    </row>
    <row r="2129" spans="1:13" x14ac:dyDescent="0.3">
      <c r="A2129" t="s">
        <v>17</v>
      </c>
      <c r="B2129">
        <v>2128</v>
      </c>
      <c r="C2129" t="s">
        <v>944</v>
      </c>
      <c r="D2129" t="s">
        <v>28</v>
      </c>
      <c r="E2129">
        <v>2018</v>
      </c>
      <c r="F2129" t="s">
        <v>138</v>
      </c>
      <c r="G2129" t="s">
        <v>14</v>
      </c>
      <c r="H2129" t="s">
        <v>26</v>
      </c>
      <c r="I2129" t="s">
        <v>40</v>
      </c>
      <c r="J2129">
        <v>3.1069203E-2</v>
      </c>
      <c r="K2129"/>
      <c r="L2129" s="1">
        <v>179.6686</v>
      </c>
      <c r="M2129">
        <v>4.2</v>
      </c>
    </row>
    <row r="2130" spans="1:13" x14ac:dyDescent="0.3">
      <c r="A2130" t="s">
        <v>17</v>
      </c>
      <c r="B2130">
        <v>2129</v>
      </c>
      <c r="C2130" t="s">
        <v>1248</v>
      </c>
      <c r="D2130" t="s">
        <v>28</v>
      </c>
      <c r="E2130">
        <v>2018</v>
      </c>
      <c r="F2130" t="s">
        <v>138</v>
      </c>
      <c r="G2130" t="s">
        <v>14</v>
      </c>
      <c r="H2130" t="s">
        <v>26</v>
      </c>
      <c r="I2130" t="s">
        <v>40</v>
      </c>
      <c r="J2130">
        <v>5.2749198999999997E-2</v>
      </c>
      <c r="K2130"/>
      <c r="L2130" s="1">
        <v>74.966999999999999</v>
      </c>
      <c r="M2130">
        <v>4.2</v>
      </c>
    </row>
    <row r="2131" spans="1:13" x14ac:dyDescent="0.3">
      <c r="A2131" t="s">
        <v>17</v>
      </c>
      <c r="B2131">
        <v>2130</v>
      </c>
      <c r="C2131" t="s">
        <v>1144</v>
      </c>
      <c r="D2131" t="s">
        <v>24</v>
      </c>
      <c r="E2131">
        <v>2018</v>
      </c>
      <c r="F2131" t="s">
        <v>138</v>
      </c>
      <c r="G2131" t="s">
        <v>14</v>
      </c>
      <c r="H2131" t="s">
        <v>26</v>
      </c>
      <c r="I2131" t="s">
        <v>40</v>
      </c>
      <c r="J2131">
        <v>0</v>
      </c>
      <c r="K2131"/>
      <c r="L2131" s="1">
        <v>98.241</v>
      </c>
      <c r="M2131">
        <v>4.2</v>
      </c>
    </row>
    <row r="2132" spans="1:13" x14ac:dyDescent="0.3">
      <c r="A2132" t="s">
        <v>17</v>
      </c>
      <c r="B2132">
        <v>2131</v>
      </c>
      <c r="C2132" t="s">
        <v>574</v>
      </c>
      <c r="D2132" t="s">
        <v>19</v>
      </c>
      <c r="E2132">
        <v>2018</v>
      </c>
      <c r="F2132" t="s">
        <v>138</v>
      </c>
      <c r="G2132" t="s">
        <v>14</v>
      </c>
      <c r="H2132" t="s">
        <v>26</v>
      </c>
      <c r="I2132" t="s">
        <v>40</v>
      </c>
      <c r="J2132">
        <v>0.135612397</v>
      </c>
      <c r="K2132"/>
      <c r="L2132" s="1">
        <v>61.153599999999997</v>
      </c>
      <c r="M2132">
        <v>4.2</v>
      </c>
    </row>
    <row r="2133" spans="1:13" x14ac:dyDescent="0.3">
      <c r="A2133" t="s">
        <v>17</v>
      </c>
      <c r="B2133">
        <v>2132</v>
      </c>
      <c r="C2133" t="s">
        <v>889</v>
      </c>
      <c r="D2133" t="s">
        <v>19</v>
      </c>
      <c r="E2133">
        <v>2018</v>
      </c>
      <c r="F2133" t="s">
        <v>138</v>
      </c>
      <c r="G2133" t="s">
        <v>14</v>
      </c>
      <c r="H2133" t="s">
        <v>26</v>
      </c>
      <c r="I2133" t="s">
        <v>40</v>
      </c>
      <c r="J2133">
        <v>0.104784329</v>
      </c>
      <c r="K2133"/>
      <c r="L2133" s="1">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K2134"/>
      <c r="L2134" s="1">
        <v>56.292999999999999</v>
      </c>
      <c r="M2134">
        <v>4.2</v>
      </c>
    </row>
    <row r="2135" spans="1:13" x14ac:dyDescent="0.3">
      <c r="A2135" t="s">
        <v>17</v>
      </c>
      <c r="B2135">
        <v>2134</v>
      </c>
      <c r="C2135" t="s">
        <v>1250</v>
      </c>
      <c r="D2135" t="s">
        <v>42</v>
      </c>
      <c r="E2135">
        <v>2018</v>
      </c>
      <c r="F2135" t="s">
        <v>138</v>
      </c>
      <c r="G2135" t="s">
        <v>14</v>
      </c>
      <c r="H2135" t="s">
        <v>26</v>
      </c>
      <c r="I2135" t="s">
        <v>40</v>
      </c>
      <c r="J2135">
        <v>0.196659953</v>
      </c>
      <c r="K2135"/>
      <c r="L2135" s="1">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K2136"/>
      <c r="L2136" s="1">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K2137"/>
      <c r="L2137" s="1">
        <v>103.3648</v>
      </c>
      <c r="M2137">
        <v>4.2</v>
      </c>
    </row>
    <row r="2138" spans="1:13" x14ac:dyDescent="0.3">
      <c r="A2138" t="s">
        <v>17</v>
      </c>
      <c r="B2138">
        <v>2137</v>
      </c>
      <c r="C2138" t="s">
        <v>695</v>
      </c>
      <c r="D2138" t="s">
        <v>48</v>
      </c>
      <c r="E2138">
        <v>2018</v>
      </c>
      <c r="F2138" t="s">
        <v>138</v>
      </c>
      <c r="G2138" t="s">
        <v>14</v>
      </c>
      <c r="H2138" t="s">
        <v>26</v>
      </c>
      <c r="I2138" t="s">
        <v>40</v>
      </c>
      <c r="J2138">
        <v>2.7610697999999999E-2</v>
      </c>
      <c r="K2138"/>
      <c r="L2138" s="1">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K2139"/>
      <c r="L2139" s="1">
        <v>36.018999999999998</v>
      </c>
      <c r="M2139">
        <v>4.2</v>
      </c>
    </row>
    <row r="2140" spans="1:13" x14ac:dyDescent="0.3">
      <c r="A2140" t="s">
        <v>17</v>
      </c>
      <c r="B2140">
        <v>2139</v>
      </c>
      <c r="C2140" t="s">
        <v>281</v>
      </c>
      <c r="D2140" t="s">
        <v>32</v>
      </c>
      <c r="E2140">
        <v>2018</v>
      </c>
      <c r="F2140" t="s">
        <v>138</v>
      </c>
      <c r="G2140" t="s">
        <v>14</v>
      </c>
      <c r="H2140" t="s">
        <v>26</v>
      </c>
      <c r="I2140" t="s">
        <v>40</v>
      </c>
      <c r="J2140">
        <v>0.124448295</v>
      </c>
      <c r="K2140"/>
      <c r="L2140" s="1">
        <v>112.0518</v>
      </c>
      <c r="M2140">
        <v>4.2</v>
      </c>
    </row>
    <row r="2141" spans="1:13" x14ac:dyDescent="0.3">
      <c r="A2141" t="s">
        <v>17</v>
      </c>
      <c r="B2141">
        <v>2140</v>
      </c>
      <c r="C2141" t="s">
        <v>730</v>
      </c>
      <c r="D2141" t="s">
        <v>32</v>
      </c>
      <c r="E2141">
        <v>2018</v>
      </c>
      <c r="F2141" t="s">
        <v>138</v>
      </c>
      <c r="G2141" t="s">
        <v>14</v>
      </c>
      <c r="H2141" t="s">
        <v>26</v>
      </c>
      <c r="I2141" t="s">
        <v>40</v>
      </c>
      <c r="J2141">
        <v>7.2864868999999999E-2</v>
      </c>
      <c r="K2141"/>
      <c r="L2141" s="1">
        <v>165.2526</v>
      </c>
      <c r="M2141">
        <v>4.2</v>
      </c>
    </row>
    <row r="2142" spans="1:13" x14ac:dyDescent="0.3">
      <c r="A2142" t="s">
        <v>10</v>
      </c>
      <c r="B2142">
        <v>2141</v>
      </c>
      <c r="C2142" t="s">
        <v>1254</v>
      </c>
      <c r="D2142" t="s">
        <v>28</v>
      </c>
      <c r="E2142">
        <v>2018</v>
      </c>
      <c r="F2142" t="s">
        <v>138</v>
      </c>
      <c r="G2142" t="s">
        <v>14</v>
      </c>
      <c r="H2142" t="s">
        <v>26</v>
      </c>
      <c r="I2142" t="s">
        <v>40</v>
      </c>
      <c r="J2142">
        <v>8.1955735000000002E-2</v>
      </c>
      <c r="K2142"/>
      <c r="L2142" s="1">
        <v>142.0838</v>
      </c>
      <c r="M2142">
        <v>4.2</v>
      </c>
    </row>
    <row r="2143" spans="1:13" x14ac:dyDescent="0.3">
      <c r="A2143" t="s">
        <v>10</v>
      </c>
      <c r="B2143">
        <v>2142</v>
      </c>
      <c r="C2143" t="s">
        <v>955</v>
      </c>
      <c r="D2143" t="s">
        <v>67</v>
      </c>
      <c r="E2143">
        <v>2018</v>
      </c>
      <c r="F2143" t="s">
        <v>138</v>
      </c>
      <c r="G2143" t="s">
        <v>14</v>
      </c>
      <c r="H2143" t="s">
        <v>26</v>
      </c>
      <c r="I2143" t="s">
        <v>40</v>
      </c>
      <c r="J2143">
        <v>0.168901843</v>
      </c>
      <c r="K2143"/>
      <c r="L2143" s="1">
        <v>43.4086</v>
      </c>
      <c r="M2143">
        <v>4.2</v>
      </c>
    </row>
    <row r="2144" spans="1:13" x14ac:dyDescent="0.3">
      <c r="A2144" t="s">
        <v>10</v>
      </c>
      <c r="B2144">
        <v>2143</v>
      </c>
      <c r="C2144" t="s">
        <v>1255</v>
      </c>
      <c r="D2144" t="s">
        <v>24</v>
      </c>
      <c r="E2144">
        <v>2018</v>
      </c>
      <c r="F2144" t="s">
        <v>138</v>
      </c>
      <c r="G2144" t="s">
        <v>14</v>
      </c>
      <c r="H2144" t="s">
        <v>26</v>
      </c>
      <c r="I2144" t="s">
        <v>40</v>
      </c>
      <c r="J2144">
        <v>8.0697998000000007E-2</v>
      </c>
      <c r="K2144"/>
      <c r="L2144" s="1">
        <v>39.8506</v>
      </c>
      <c r="M2144">
        <v>4.2</v>
      </c>
    </row>
    <row r="2145" spans="1:13" x14ac:dyDescent="0.3">
      <c r="A2145" t="s">
        <v>10</v>
      </c>
      <c r="B2145">
        <v>2144</v>
      </c>
      <c r="C2145" t="s">
        <v>939</v>
      </c>
      <c r="D2145" t="s">
        <v>24</v>
      </c>
      <c r="E2145">
        <v>2018</v>
      </c>
      <c r="F2145" t="s">
        <v>138</v>
      </c>
      <c r="G2145" t="s">
        <v>14</v>
      </c>
      <c r="H2145" t="s">
        <v>26</v>
      </c>
      <c r="I2145" t="s">
        <v>40</v>
      </c>
      <c r="J2145">
        <v>0.26639670999999998</v>
      </c>
      <c r="K2145"/>
      <c r="L2145" s="1">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K2146"/>
      <c r="L2146" s="1">
        <v>63.2194</v>
      </c>
      <c r="M2146">
        <v>4.2</v>
      </c>
    </row>
    <row r="2147" spans="1:13" x14ac:dyDescent="0.3">
      <c r="A2147" t="s">
        <v>10</v>
      </c>
      <c r="B2147">
        <v>2146</v>
      </c>
      <c r="C2147" t="s">
        <v>1256</v>
      </c>
      <c r="D2147" t="s">
        <v>12</v>
      </c>
      <c r="E2147">
        <v>2018</v>
      </c>
      <c r="F2147" t="s">
        <v>138</v>
      </c>
      <c r="G2147" t="s">
        <v>14</v>
      </c>
      <c r="H2147" t="s">
        <v>26</v>
      </c>
      <c r="I2147" t="s">
        <v>40</v>
      </c>
      <c r="J2147">
        <v>0.18500898499999999</v>
      </c>
      <c r="K2147"/>
      <c r="L2147" s="1">
        <v>42.379600000000003</v>
      </c>
      <c r="M2147">
        <v>4.2</v>
      </c>
    </row>
    <row r="2148" spans="1:13" x14ac:dyDescent="0.3">
      <c r="A2148" t="s">
        <v>10</v>
      </c>
      <c r="B2148">
        <v>2147</v>
      </c>
      <c r="C2148" t="s">
        <v>399</v>
      </c>
      <c r="D2148" t="s">
        <v>12</v>
      </c>
      <c r="E2148">
        <v>2018</v>
      </c>
      <c r="F2148" t="s">
        <v>138</v>
      </c>
      <c r="G2148" t="s">
        <v>14</v>
      </c>
      <c r="H2148" t="s">
        <v>26</v>
      </c>
      <c r="I2148" t="s">
        <v>40</v>
      </c>
      <c r="J2148">
        <v>0.11173569</v>
      </c>
      <c r="K2148"/>
      <c r="L2148" s="1">
        <v>115.9492</v>
      </c>
      <c r="M2148">
        <v>4.2</v>
      </c>
    </row>
    <row r="2149" spans="1:13" x14ac:dyDescent="0.3">
      <c r="A2149" t="s">
        <v>10</v>
      </c>
      <c r="B2149">
        <v>2148</v>
      </c>
      <c r="C2149" t="s">
        <v>1257</v>
      </c>
      <c r="D2149" t="s">
        <v>12</v>
      </c>
      <c r="E2149">
        <v>2018</v>
      </c>
      <c r="F2149" t="s">
        <v>138</v>
      </c>
      <c r="G2149" t="s">
        <v>14</v>
      </c>
      <c r="H2149" t="s">
        <v>26</v>
      </c>
      <c r="I2149" t="s">
        <v>40</v>
      </c>
      <c r="J2149">
        <v>7.8758649E-2</v>
      </c>
      <c r="K2149"/>
      <c r="L2149" s="1">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K2150"/>
      <c r="L2150" s="1">
        <v>155.8946</v>
      </c>
      <c r="M2150">
        <v>4.2</v>
      </c>
    </row>
    <row r="2151" spans="1:13" x14ac:dyDescent="0.3">
      <c r="A2151" t="s">
        <v>10</v>
      </c>
      <c r="B2151">
        <v>2150</v>
      </c>
      <c r="C2151" t="s">
        <v>1209</v>
      </c>
      <c r="D2151" t="s">
        <v>54</v>
      </c>
      <c r="E2151">
        <v>2018</v>
      </c>
      <c r="F2151" t="s">
        <v>138</v>
      </c>
      <c r="G2151" t="s">
        <v>14</v>
      </c>
      <c r="H2151" t="s">
        <v>26</v>
      </c>
      <c r="I2151" t="s">
        <v>40</v>
      </c>
      <c r="J2151">
        <v>0.133279499</v>
      </c>
      <c r="K2151"/>
      <c r="L2151" s="1">
        <v>112.6202</v>
      </c>
      <c r="M2151">
        <v>4.2</v>
      </c>
    </row>
    <row r="2152" spans="1:13" x14ac:dyDescent="0.3">
      <c r="A2152" t="s">
        <v>10</v>
      </c>
      <c r="B2152">
        <v>2151</v>
      </c>
      <c r="C2152" t="s">
        <v>1258</v>
      </c>
      <c r="D2152" t="s">
        <v>48</v>
      </c>
      <c r="E2152">
        <v>2018</v>
      </c>
      <c r="F2152" t="s">
        <v>138</v>
      </c>
      <c r="G2152" t="s">
        <v>14</v>
      </c>
      <c r="H2152" t="s">
        <v>26</v>
      </c>
      <c r="I2152" t="s">
        <v>40</v>
      </c>
      <c r="J2152">
        <v>3.6551446000000001E-2</v>
      </c>
      <c r="K2152"/>
      <c r="L2152" s="1">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s="1">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s="1">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s="1">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s="1">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s="1">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s="1">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s="1">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s="1">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s="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s="1">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s="1">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s="1">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s="1">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s="1">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s="1">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s="1">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s="1">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s="1">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s="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s="1">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s="1">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s="1">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s="1">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s="1">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s="1">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s="1">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s="1">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s="1">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s="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s="1">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s="1">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s="1">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s="1">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s="1">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s="1">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s="1">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s="1">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s="1">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s="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s="1">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s="1">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s="1">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s="1">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s="1">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s="1">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s="1">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s="1">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s="1">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s="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s="1">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s="1">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s="1">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s="1">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s="1">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s="1">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s="1">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s="1">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s="1">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s="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s="1">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s="1">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s="1">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s="1">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s="1">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s="1">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s="1">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s="1">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s="1">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s="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s="1">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s="1">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s="1">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s="1">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s="1">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s="1">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s="1">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s="1">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s="1">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s="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s="1">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s="1">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s="1">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s="1">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s="1">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s="1">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s="1">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s="1">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s="1">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s="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s="1">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s="1">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s="1">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s="1">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s="1">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s="1">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s="1">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s="1">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s="1">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s="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s="1">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s="1">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s="1">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s="1">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s="1">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s="1">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s="1">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s="1">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s="1">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s="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s="1">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s="1">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s="1">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s="1">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s="1">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s="1">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s="1">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s="1">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s="1">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s="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s="1">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s="1">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s="1">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s="1">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s="1">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s="1">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s="1">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s="1">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s="1">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s="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s="1">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s="1">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s="1">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s="1">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s="1">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s="1">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s="1">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s="1">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s="1">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s="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s="1">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s="1">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s="1">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s="1">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s="1">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s="1">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s="1">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s="1">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s="1">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s="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s="1">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s="1">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s="1">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s="1">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s="1">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s="1">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s="1">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s="1">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s="1">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s="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s="1">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s="1">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s="1">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s="1">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s="1">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s="1">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s="1">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s="1">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s="1">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s="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s="1">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s="1">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s="1">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s="1">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s="1">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s="1">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s="1">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s="1">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s="1">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s="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s="1">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s="1">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s="1">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s="1">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s="1">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s="1">
        <v>162.2578</v>
      </c>
      <c r="M2337">
        <v>4.2</v>
      </c>
    </row>
    <row r="2338" spans="1:13" x14ac:dyDescent="0.3">
      <c r="A2338" t="s">
        <v>10</v>
      </c>
      <c r="B2338">
        <v>2337</v>
      </c>
      <c r="C2338" t="s">
        <v>71</v>
      </c>
      <c r="D2338" t="s">
        <v>12</v>
      </c>
      <c r="E2338">
        <v>2020</v>
      </c>
      <c r="F2338" t="s">
        <v>37</v>
      </c>
      <c r="G2338" t="s">
        <v>34</v>
      </c>
      <c r="H2338" t="s">
        <v>15</v>
      </c>
      <c r="I2338" t="s">
        <v>16</v>
      </c>
      <c r="J2338">
        <v>0</v>
      </c>
      <c r="K2338">
        <v>17.7</v>
      </c>
      <c r="L2338" s="1">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s="1">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s="1">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s="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s="1">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s="1">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s="1">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s="1">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s="1">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s="1">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s="1">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s="1">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s="1">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s="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s="1">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s="1">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s="1">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s="1">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s="1">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s="1">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s="1">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s="1">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s="1">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s="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s="1">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s="1">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s="1">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s="1">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s="1">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s="1">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s="1">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s="1">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s="1">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s="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s="1">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s="1">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s="1">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s="1">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s="1">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s="1">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s="1">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s="1">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s="1">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s="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s="1">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s="1">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s="1">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s="1">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s="1">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s="1">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s="1">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s="1">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s="1">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s="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s="1">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s="1">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s="1">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s="1">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s="1">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s="1">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s="1">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s="1">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s="1">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s="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s="1">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s="1">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s="1">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s="1">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s="1">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s="1">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s="1">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s="1">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s="1">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s="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s="1">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s="1">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s="1">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s="1">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s="1">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s="1">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s="1">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s="1">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s="1">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s="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s="1">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s="1">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s="1">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s="1">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s="1">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s="1">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s="1">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s="1">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s="1">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s="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s="1">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s="1">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s="1">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s="1">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s="1">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s="1">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s="1">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s="1">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s="1">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s="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s="1">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s="1">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s="1">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s="1">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s="1">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s="1">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s="1">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s="1">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s="1">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s="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s="1">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s="1">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s="1">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s="1">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s="1">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s="1">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s="1">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s="1">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s="1">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s="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s="1">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s="1">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s="1">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s="1">
        <v>114.2492</v>
      </c>
      <c r="M2465">
        <v>4.2</v>
      </c>
    </row>
    <row r="2466" spans="1:13" x14ac:dyDescent="0.3">
      <c r="A2466" t="s">
        <v>10</v>
      </c>
      <c r="B2466">
        <v>2465</v>
      </c>
      <c r="C2466" t="s">
        <v>11</v>
      </c>
      <c r="D2466" t="s">
        <v>12</v>
      </c>
      <c r="E2466">
        <v>2011</v>
      </c>
      <c r="F2466" t="s">
        <v>39</v>
      </c>
      <c r="G2466" t="s">
        <v>21</v>
      </c>
      <c r="H2466" t="s">
        <v>30</v>
      </c>
      <c r="I2466" t="s">
        <v>40</v>
      </c>
      <c r="J2466">
        <v>0</v>
      </c>
      <c r="K2466">
        <v>15.1</v>
      </c>
      <c r="L2466" s="1">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s="1">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s="1">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s="1">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s="1">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s="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s="1">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s="1">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s="1">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s="1">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s="1">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s="1">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s="1">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s="1">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s="1">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s="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s="1">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s="1">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s="1">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s="1">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s="1">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s="1">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s="1">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s="1">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s="1">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s="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s="1">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s="1">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s="1">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s="1">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s="1">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s="1">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s="1">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s="1">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s="1">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s="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s="1">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s="1">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s="1">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s="1">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s="1">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s="1">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s="1">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s="1">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s="1">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s="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s="1">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s="1">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s="1">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s="1">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s="1">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s="1">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s="1">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s="1">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s="1">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s="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s="1">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s="1">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s="1">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s="1">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s="1">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s="1">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s="1">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s="1">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s="1">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s="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s="1">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s="1">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s="1">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s="1">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s="1">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s="1">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s="1">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s="1">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s="1">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s="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s="1">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s="1">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s="1">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s="1">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s="1">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s="1">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s="1">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s="1">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s="1">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s="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s="1">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s="1">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s="1">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s="1">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s="1">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s="1">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s="1">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s="1">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s="1">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s="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s="1">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s="1">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s="1">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s="1">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s="1">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s="1">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s="1">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s="1">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s="1">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s="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s="1">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s="1">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s="1">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s="1">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s="1">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s="1">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s="1">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s="1">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s="1">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s="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s="1">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s="1">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s="1">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s="1">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s="1">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s="1">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s="1">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s="1">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s="1">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s="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s="1">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s="1">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s="1">
        <v>239.4538</v>
      </c>
      <c r="M2594">
        <v>4.2</v>
      </c>
    </row>
    <row r="2595" spans="1:13" x14ac:dyDescent="0.3">
      <c r="A2595" t="s">
        <v>17</v>
      </c>
      <c r="B2595">
        <v>2594</v>
      </c>
      <c r="C2595" t="s">
        <v>199</v>
      </c>
      <c r="D2595" t="s">
        <v>95</v>
      </c>
      <c r="E2595">
        <v>2018</v>
      </c>
      <c r="F2595" t="s">
        <v>45</v>
      </c>
      <c r="G2595" t="s">
        <v>21</v>
      </c>
      <c r="H2595" t="s">
        <v>15</v>
      </c>
      <c r="I2595" t="s">
        <v>46</v>
      </c>
      <c r="J2595">
        <v>0.112718928</v>
      </c>
      <c r="K2595"/>
      <c r="L2595" s="1">
        <v>54.2956</v>
      </c>
      <c r="M2595">
        <v>4.2</v>
      </c>
    </row>
    <row r="2596" spans="1:13" x14ac:dyDescent="0.3">
      <c r="A2596" t="s">
        <v>17</v>
      </c>
      <c r="B2596">
        <v>2595</v>
      </c>
      <c r="C2596" t="s">
        <v>282</v>
      </c>
      <c r="D2596" t="s">
        <v>95</v>
      </c>
      <c r="E2596">
        <v>2018</v>
      </c>
      <c r="F2596" t="s">
        <v>45</v>
      </c>
      <c r="G2596" t="s">
        <v>21</v>
      </c>
      <c r="H2596" t="s">
        <v>15</v>
      </c>
      <c r="I2596" t="s">
        <v>46</v>
      </c>
      <c r="J2596">
        <v>4.6958532999999997E-2</v>
      </c>
      <c r="K2596"/>
      <c r="L2596" s="1">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K2597"/>
      <c r="L2597" s="1">
        <v>184.9924</v>
      </c>
      <c r="M2597">
        <v>4.2</v>
      </c>
    </row>
    <row r="2598" spans="1:13" x14ac:dyDescent="0.3">
      <c r="A2598" t="s">
        <v>17</v>
      </c>
      <c r="B2598">
        <v>2597</v>
      </c>
      <c r="C2598" t="s">
        <v>852</v>
      </c>
      <c r="D2598" t="s">
        <v>95</v>
      </c>
      <c r="E2598">
        <v>2018</v>
      </c>
      <c r="F2598" t="s">
        <v>45</v>
      </c>
      <c r="G2598" t="s">
        <v>21</v>
      </c>
      <c r="H2598" t="s">
        <v>15</v>
      </c>
      <c r="I2598" t="s">
        <v>46</v>
      </c>
      <c r="J2598">
        <v>3.7449986999999997E-2</v>
      </c>
      <c r="K2598"/>
      <c r="L2598" s="1">
        <v>76.735399999999998</v>
      </c>
      <c r="M2598">
        <v>4.2</v>
      </c>
    </row>
    <row r="2599" spans="1:13" x14ac:dyDescent="0.3">
      <c r="A2599" t="s">
        <v>17</v>
      </c>
      <c r="B2599">
        <v>2598</v>
      </c>
      <c r="C2599" t="s">
        <v>632</v>
      </c>
      <c r="D2599" t="s">
        <v>95</v>
      </c>
      <c r="E2599">
        <v>2018</v>
      </c>
      <c r="F2599" t="s">
        <v>45</v>
      </c>
      <c r="G2599" t="s">
        <v>21</v>
      </c>
      <c r="H2599" t="s">
        <v>15</v>
      </c>
      <c r="I2599" t="s">
        <v>46</v>
      </c>
      <c r="J2599">
        <v>0.118783796</v>
      </c>
      <c r="K2599"/>
      <c r="L2599" s="1">
        <v>108.5596</v>
      </c>
      <c r="M2599">
        <v>4.2</v>
      </c>
    </row>
    <row r="2600" spans="1:13" x14ac:dyDescent="0.3">
      <c r="A2600" t="s">
        <v>17</v>
      </c>
      <c r="B2600">
        <v>2599</v>
      </c>
      <c r="C2600" t="s">
        <v>200</v>
      </c>
      <c r="D2600" t="s">
        <v>74</v>
      </c>
      <c r="E2600">
        <v>2018</v>
      </c>
      <c r="F2600" t="s">
        <v>45</v>
      </c>
      <c r="G2600" t="s">
        <v>21</v>
      </c>
      <c r="H2600" t="s">
        <v>15</v>
      </c>
      <c r="I2600" t="s">
        <v>46</v>
      </c>
      <c r="J2600">
        <v>2.1273160999999999E-2</v>
      </c>
      <c r="K2600"/>
      <c r="L2600" s="1">
        <v>229.1326</v>
      </c>
      <c r="M2600">
        <v>4.2</v>
      </c>
    </row>
    <row r="2601" spans="1:13" x14ac:dyDescent="0.3">
      <c r="A2601" t="s">
        <v>17</v>
      </c>
      <c r="B2601">
        <v>2600</v>
      </c>
      <c r="C2601" t="s">
        <v>66</v>
      </c>
      <c r="D2601" t="s">
        <v>67</v>
      </c>
      <c r="E2601">
        <v>2018</v>
      </c>
      <c r="F2601" t="s">
        <v>45</v>
      </c>
      <c r="G2601" t="s">
        <v>21</v>
      </c>
      <c r="H2601" t="s">
        <v>15</v>
      </c>
      <c r="I2601" t="s">
        <v>46</v>
      </c>
      <c r="J2601">
        <v>4.2037073000000001E-2</v>
      </c>
      <c r="K2601"/>
      <c r="L2601" s="1">
        <v>172.6764</v>
      </c>
      <c r="M2601">
        <v>4.2</v>
      </c>
    </row>
    <row r="2602" spans="1:13" x14ac:dyDescent="0.3">
      <c r="A2602" t="s">
        <v>17</v>
      </c>
      <c r="B2602">
        <v>2601</v>
      </c>
      <c r="C2602" t="s">
        <v>589</v>
      </c>
      <c r="D2602" t="s">
        <v>67</v>
      </c>
      <c r="E2602">
        <v>2018</v>
      </c>
      <c r="F2602" t="s">
        <v>45</v>
      </c>
      <c r="G2602" t="s">
        <v>21</v>
      </c>
      <c r="H2602" t="s">
        <v>15</v>
      </c>
      <c r="I2602" t="s">
        <v>46</v>
      </c>
      <c r="J2602">
        <v>3.0288215E-2</v>
      </c>
      <c r="K2602"/>
      <c r="L2602" s="1">
        <v>256.7672</v>
      </c>
      <c r="M2602">
        <v>4.2</v>
      </c>
    </row>
    <row r="2603" spans="1:13" x14ac:dyDescent="0.3">
      <c r="A2603" t="s">
        <v>17</v>
      </c>
      <c r="B2603">
        <v>2602</v>
      </c>
      <c r="C2603" t="s">
        <v>665</v>
      </c>
      <c r="D2603" t="s">
        <v>24</v>
      </c>
      <c r="E2603">
        <v>2018</v>
      </c>
      <c r="F2603" t="s">
        <v>45</v>
      </c>
      <c r="G2603" t="s">
        <v>21</v>
      </c>
      <c r="H2603" t="s">
        <v>15</v>
      </c>
      <c r="I2603" t="s">
        <v>46</v>
      </c>
      <c r="J2603">
        <v>8.2795450000000007E-2</v>
      </c>
      <c r="K2603"/>
      <c r="L2603" s="1">
        <v>245.8776</v>
      </c>
      <c r="M2603">
        <v>4.2</v>
      </c>
    </row>
    <row r="2604" spans="1:13" x14ac:dyDescent="0.3">
      <c r="A2604" t="s">
        <v>17</v>
      </c>
      <c r="B2604">
        <v>2603</v>
      </c>
      <c r="C2604" t="s">
        <v>1324</v>
      </c>
      <c r="D2604" t="s">
        <v>12</v>
      </c>
      <c r="E2604">
        <v>2018</v>
      </c>
      <c r="F2604" t="s">
        <v>45</v>
      </c>
      <c r="G2604" t="s">
        <v>21</v>
      </c>
      <c r="H2604" t="s">
        <v>15</v>
      </c>
      <c r="I2604" t="s">
        <v>46</v>
      </c>
      <c r="J2604">
        <v>6.6298468999999999E-2</v>
      </c>
      <c r="K2604"/>
      <c r="L2604" s="1">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K2605"/>
      <c r="L2605" s="1">
        <v>98.241</v>
      </c>
      <c r="M2605">
        <v>4.2</v>
      </c>
    </row>
    <row r="2606" spans="1:13" x14ac:dyDescent="0.3">
      <c r="A2606" t="s">
        <v>17</v>
      </c>
      <c r="B2606">
        <v>2605</v>
      </c>
      <c r="C2606" t="s">
        <v>1038</v>
      </c>
      <c r="D2606" t="s">
        <v>12</v>
      </c>
      <c r="E2606">
        <v>2018</v>
      </c>
      <c r="F2606" t="s">
        <v>45</v>
      </c>
      <c r="G2606" t="s">
        <v>21</v>
      </c>
      <c r="H2606" t="s">
        <v>15</v>
      </c>
      <c r="I2606" t="s">
        <v>46</v>
      </c>
      <c r="J2606">
        <v>4.9478258999999997E-2</v>
      </c>
      <c r="K2606"/>
      <c r="L2606" s="1">
        <v>245.4144</v>
      </c>
      <c r="M2606">
        <v>4.2</v>
      </c>
    </row>
    <row r="2607" spans="1:13" x14ac:dyDescent="0.3">
      <c r="A2607" t="s">
        <v>17</v>
      </c>
      <c r="B2607">
        <v>2606</v>
      </c>
      <c r="C2607" t="s">
        <v>232</v>
      </c>
      <c r="D2607" t="s">
        <v>12</v>
      </c>
      <c r="E2607">
        <v>2018</v>
      </c>
      <c r="F2607" t="s">
        <v>45</v>
      </c>
      <c r="G2607" t="s">
        <v>21</v>
      </c>
      <c r="H2607" t="s">
        <v>15</v>
      </c>
      <c r="I2607" t="s">
        <v>46</v>
      </c>
      <c r="J2607">
        <v>4.6259036000000003E-2</v>
      </c>
      <c r="K2607"/>
      <c r="L2607" s="1">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K2608"/>
      <c r="L2608" s="1">
        <v>43.4086</v>
      </c>
      <c r="M2608">
        <v>4.2</v>
      </c>
    </row>
    <row r="2609" spans="1:13" x14ac:dyDescent="0.3">
      <c r="A2609" t="s">
        <v>17</v>
      </c>
      <c r="B2609">
        <v>2608</v>
      </c>
      <c r="C2609" t="s">
        <v>375</v>
      </c>
      <c r="D2609" t="s">
        <v>61</v>
      </c>
      <c r="E2609">
        <v>2018</v>
      </c>
      <c r="F2609" t="s">
        <v>45</v>
      </c>
      <c r="G2609" t="s">
        <v>21</v>
      </c>
      <c r="H2609" t="s">
        <v>15</v>
      </c>
      <c r="I2609" t="s">
        <v>46</v>
      </c>
      <c r="J2609">
        <v>4.4036020000000002E-2</v>
      </c>
      <c r="K2609"/>
      <c r="L2609" s="1">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K2610"/>
      <c r="L2610" s="1">
        <v>116.9492</v>
      </c>
      <c r="M2610">
        <v>4.2</v>
      </c>
    </row>
    <row r="2611" spans="1:13" x14ac:dyDescent="0.3">
      <c r="A2611" t="s">
        <v>17</v>
      </c>
      <c r="B2611">
        <v>2610</v>
      </c>
      <c r="C2611" t="s">
        <v>859</v>
      </c>
      <c r="D2611" t="s">
        <v>19</v>
      </c>
      <c r="E2611">
        <v>2018</v>
      </c>
      <c r="F2611" t="s">
        <v>45</v>
      </c>
      <c r="G2611" t="s">
        <v>21</v>
      </c>
      <c r="H2611" t="s">
        <v>15</v>
      </c>
      <c r="I2611" t="s">
        <v>46</v>
      </c>
      <c r="J2611">
        <v>0.14272811299999999</v>
      </c>
      <c r="K2611"/>
      <c r="L2611" s="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K2612"/>
      <c r="L2612" s="1">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K2613"/>
      <c r="L2613" s="1">
        <v>46.4086</v>
      </c>
      <c r="M2613">
        <v>4.2</v>
      </c>
    </row>
    <row r="2614" spans="1:13" x14ac:dyDescent="0.3">
      <c r="A2614" t="s">
        <v>17</v>
      </c>
      <c r="B2614">
        <v>2613</v>
      </c>
      <c r="C2614" t="s">
        <v>297</v>
      </c>
      <c r="D2614" t="s">
        <v>19</v>
      </c>
      <c r="E2614">
        <v>2018</v>
      </c>
      <c r="F2614" t="s">
        <v>45</v>
      </c>
      <c r="G2614" t="s">
        <v>21</v>
      </c>
      <c r="H2614" t="s">
        <v>15</v>
      </c>
      <c r="I2614" t="s">
        <v>46</v>
      </c>
      <c r="J2614">
        <v>8.9343433E-2</v>
      </c>
      <c r="K2614"/>
      <c r="L2614" s="1">
        <v>157.3604</v>
      </c>
      <c r="M2614">
        <v>4.2</v>
      </c>
    </row>
    <row r="2615" spans="1:13" x14ac:dyDescent="0.3">
      <c r="A2615" t="s">
        <v>17</v>
      </c>
      <c r="B2615">
        <v>2614</v>
      </c>
      <c r="C2615" t="s">
        <v>1350</v>
      </c>
      <c r="D2615" t="s">
        <v>19</v>
      </c>
      <c r="E2615">
        <v>2018</v>
      </c>
      <c r="F2615" t="s">
        <v>45</v>
      </c>
      <c r="G2615" t="s">
        <v>21</v>
      </c>
      <c r="H2615" t="s">
        <v>15</v>
      </c>
      <c r="I2615" t="s">
        <v>46</v>
      </c>
      <c r="J2615">
        <v>2.8723187000000001E-2</v>
      </c>
      <c r="K2615"/>
      <c r="L2615" s="1">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K2616"/>
      <c r="L2616" s="1">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K2617"/>
      <c r="L2617" s="1">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K2618"/>
      <c r="L2618" s="1">
        <v>222.37459999999999</v>
      </c>
      <c r="M2618">
        <v>4.2</v>
      </c>
    </row>
    <row r="2619" spans="1:13" x14ac:dyDescent="0.3">
      <c r="A2619" t="s">
        <v>17</v>
      </c>
      <c r="B2619">
        <v>2618</v>
      </c>
      <c r="C2619" t="s">
        <v>1115</v>
      </c>
      <c r="D2619" t="s">
        <v>42</v>
      </c>
      <c r="E2619">
        <v>2018</v>
      </c>
      <c r="F2619" t="s">
        <v>45</v>
      </c>
      <c r="G2619" t="s">
        <v>21</v>
      </c>
      <c r="H2619" t="s">
        <v>15</v>
      </c>
      <c r="I2619" t="s">
        <v>46</v>
      </c>
      <c r="J2619">
        <v>0.124110734</v>
      </c>
      <c r="K2619"/>
      <c r="L2619" s="1">
        <v>111.7544</v>
      </c>
      <c r="M2619">
        <v>4.2</v>
      </c>
    </row>
    <row r="2620" spans="1:13" x14ac:dyDescent="0.3">
      <c r="A2620" t="s">
        <v>17</v>
      </c>
      <c r="B2620">
        <v>2619</v>
      </c>
      <c r="C2620" t="s">
        <v>1351</v>
      </c>
      <c r="D2620" t="s">
        <v>54</v>
      </c>
      <c r="E2620">
        <v>2018</v>
      </c>
      <c r="F2620" t="s">
        <v>45</v>
      </c>
      <c r="G2620" t="s">
        <v>21</v>
      </c>
      <c r="H2620" t="s">
        <v>15</v>
      </c>
      <c r="I2620" t="s">
        <v>46</v>
      </c>
      <c r="J2620">
        <v>8.9032120000000006E-3</v>
      </c>
      <c r="K2620"/>
      <c r="L2620" s="1">
        <v>120.9756</v>
      </c>
      <c r="M2620">
        <v>4.2</v>
      </c>
    </row>
    <row r="2621" spans="1:13" x14ac:dyDescent="0.3">
      <c r="A2621" t="s">
        <v>17</v>
      </c>
      <c r="B2621">
        <v>2620</v>
      </c>
      <c r="C2621" t="s">
        <v>998</v>
      </c>
      <c r="D2621" t="s">
        <v>64</v>
      </c>
      <c r="E2621">
        <v>2018</v>
      </c>
      <c r="F2621" t="s">
        <v>45</v>
      </c>
      <c r="G2621" t="s">
        <v>21</v>
      </c>
      <c r="H2621" t="s">
        <v>15</v>
      </c>
      <c r="I2621" t="s">
        <v>46</v>
      </c>
      <c r="J2621">
        <v>8.0933327999999999E-2</v>
      </c>
      <c r="K2621"/>
      <c r="L2621" s="1">
        <v>37.518999999999998</v>
      </c>
      <c r="M2621">
        <v>4.2</v>
      </c>
    </row>
    <row r="2622" spans="1:13" x14ac:dyDescent="0.3">
      <c r="A2622" t="s">
        <v>17</v>
      </c>
      <c r="B2622">
        <v>2621</v>
      </c>
      <c r="C2622" t="s">
        <v>1352</v>
      </c>
      <c r="D2622" t="s">
        <v>48</v>
      </c>
      <c r="E2622">
        <v>2018</v>
      </c>
      <c r="F2622" t="s">
        <v>45</v>
      </c>
      <c r="G2622" t="s">
        <v>21</v>
      </c>
      <c r="H2622" t="s">
        <v>15</v>
      </c>
      <c r="I2622" t="s">
        <v>46</v>
      </c>
      <c r="J2622">
        <v>1.520491E-2</v>
      </c>
      <c r="K2622"/>
      <c r="L2622" s="1">
        <v>197.20840000000001</v>
      </c>
      <c r="M2622">
        <v>4.2</v>
      </c>
    </row>
    <row r="2623" spans="1:13" x14ac:dyDescent="0.3">
      <c r="A2623" t="s">
        <v>17</v>
      </c>
      <c r="B2623">
        <v>2622</v>
      </c>
      <c r="C2623" t="s">
        <v>1353</v>
      </c>
      <c r="D2623" t="s">
        <v>48</v>
      </c>
      <c r="E2623">
        <v>2018</v>
      </c>
      <c r="F2623" t="s">
        <v>45</v>
      </c>
      <c r="G2623" t="s">
        <v>21</v>
      </c>
      <c r="H2623" t="s">
        <v>15</v>
      </c>
      <c r="I2623" t="s">
        <v>46</v>
      </c>
      <c r="J2623">
        <v>0</v>
      </c>
      <c r="K2623"/>
      <c r="L2623" s="1">
        <v>119.8124</v>
      </c>
      <c r="M2623">
        <v>4.2</v>
      </c>
    </row>
    <row r="2624" spans="1:13" x14ac:dyDescent="0.3">
      <c r="A2624" t="s">
        <v>17</v>
      </c>
      <c r="B2624">
        <v>2623</v>
      </c>
      <c r="C2624" t="s">
        <v>1284</v>
      </c>
      <c r="D2624" t="s">
        <v>48</v>
      </c>
      <c r="E2624">
        <v>2018</v>
      </c>
      <c r="F2624" t="s">
        <v>45</v>
      </c>
      <c r="G2624" t="s">
        <v>21</v>
      </c>
      <c r="H2624" t="s">
        <v>15</v>
      </c>
      <c r="I2624" t="s">
        <v>46</v>
      </c>
      <c r="J2624">
        <v>6.4052392E-2</v>
      </c>
      <c r="K2624"/>
      <c r="L2624" s="1">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K2625"/>
      <c r="L2625" s="1">
        <v>141.21539999999999</v>
      </c>
      <c r="M2625">
        <v>4.2</v>
      </c>
    </row>
    <row r="2626" spans="1:13" x14ac:dyDescent="0.3">
      <c r="A2626" t="s">
        <v>17</v>
      </c>
      <c r="B2626">
        <v>2625</v>
      </c>
      <c r="C2626" t="s">
        <v>118</v>
      </c>
      <c r="D2626" t="s">
        <v>48</v>
      </c>
      <c r="E2626">
        <v>2018</v>
      </c>
      <c r="F2626" t="s">
        <v>45</v>
      </c>
      <c r="G2626" t="s">
        <v>21</v>
      </c>
      <c r="H2626" t="s">
        <v>15</v>
      </c>
      <c r="I2626" t="s">
        <v>46</v>
      </c>
      <c r="J2626">
        <v>0</v>
      </c>
      <c r="K2626"/>
      <c r="L2626" s="1">
        <v>240.62219999999999</v>
      </c>
      <c r="M2626">
        <v>4.2</v>
      </c>
    </row>
    <row r="2627" spans="1:13" x14ac:dyDescent="0.3">
      <c r="A2627" t="s">
        <v>17</v>
      </c>
      <c r="B2627">
        <v>2626</v>
      </c>
      <c r="C2627" t="s">
        <v>1355</v>
      </c>
      <c r="D2627" t="s">
        <v>48</v>
      </c>
      <c r="E2627">
        <v>2018</v>
      </c>
      <c r="F2627" t="s">
        <v>45</v>
      </c>
      <c r="G2627" t="s">
        <v>21</v>
      </c>
      <c r="H2627" t="s">
        <v>15</v>
      </c>
      <c r="I2627" t="s">
        <v>46</v>
      </c>
      <c r="J2627">
        <v>3.0657949E-2</v>
      </c>
      <c r="K2627"/>
      <c r="L2627" s="1">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K2628"/>
      <c r="L2628" s="1">
        <v>236.0248</v>
      </c>
      <c r="M2628">
        <v>4.2</v>
      </c>
    </row>
    <row r="2629" spans="1:13" x14ac:dyDescent="0.3">
      <c r="A2629" t="s">
        <v>17</v>
      </c>
      <c r="B2629">
        <v>2628</v>
      </c>
      <c r="C2629" t="s">
        <v>178</v>
      </c>
      <c r="D2629" t="s">
        <v>48</v>
      </c>
      <c r="E2629">
        <v>2018</v>
      </c>
      <c r="F2629" t="s">
        <v>45</v>
      </c>
      <c r="G2629" t="s">
        <v>21</v>
      </c>
      <c r="H2629" t="s">
        <v>15</v>
      </c>
      <c r="I2629" t="s">
        <v>46</v>
      </c>
      <c r="J2629">
        <v>5.1924192000000001E-2</v>
      </c>
      <c r="K2629"/>
      <c r="L2629" s="1">
        <v>121.0072</v>
      </c>
      <c r="M2629">
        <v>4.2</v>
      </c>
    </row>
    <row r="2630" spans="1:13" x14ac:dyDescent="0.3">
      <c r="A2630" t="s">
        <v>17</v>
      </c>
      <c r="B2630">
        <v>2629</v>
      </c>
      <c r="C2630" t="s">
        <v>31</v>
      </c>
      <c r="D2630" t="s">
        <v>32</v>
      </c>
      <c r="E2630">
        <v>2018</v>
      </c>
      <c r="F2630" t="s">
        <v>45</v>
      </c>
      <c r="G2630" t="s">
        <v>21</v>
      </c>
      <c r="H2630" t="s">
        <v>15</v>
      </c>
      <c r="I2630" t="s">
        <v>46</v>
      </c>
      <c r="J2630">
        <v>3.3737272999999998E-2</v>
      </c>
      <c r="K2630"/>
      <c r="L2630" s="1">
        <v>56.6614</v>
      </c>
      <c r="M2630">
        <v>4.2</v>
      </c>
    </row>
    <row r="2631" spans="1:13" x14ac:dyDescent="0.3">
      <c r="A2631" t="s">
        <v>17</v>
      </c>
      <c r="B2631">
        <v>2630</v>
      </c>
      <c r="C2631" t="s">
        <v>1356</v>
      </c>
      <c r="D2631" t="s">
        <v>32</v>
      </c>
      <c r="E2631">
        <v>2018</v>
      </c>
      <c r="F2631" t="s">
        <v>45</v>
      </c>
      <c r="G2631" t="s">
        <v>21</v>
      </c>
      <c r="H2631" t="s">
        <v>15</v>
      </c>
      <c r="I2631" t="s">
        <v>46</v>
      </c>
      <c r="J2631">
        <v>6.0805497E-2</v>
      </c>
      <c r="K2631"/>
      <c r="L2631" s="1">
        <v>150.80240000000001</v>
      </c>
      <c r="M2631">
        <v>4.2</v>
      </c>
    </row>
    <row r="2632" spans="1:13" x14ac:dyDescent="0.3">
      <c r="A2632" t="s">
        <v>17</v>
      </c>
      <c r="B2632">
        <v>2631</v>
      </c>
      <c r="C2632" t="s">
        <v>1357</v>
      </c>
      <c r="D2632" t="s">
        <v>159</v>
      </c>
      <c r="E2632">
        <v>2018</v>
      </c>
      <c r="F2632" t="s">
        <v>45</v>
      </c>
      <c r="G2632" t="s">
        <v>21</v>
      </c>
      <c r="H2632" t="s">
        <v>15</v>
      </c>
      <c r="I2632" t="s">
        <v>46</v>
      </c>
      <c r="J2632">
        <v>0.122242847</v>
      </c>
      <c r="K2632"/>
      <c r="L2632" s="1">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K2633"/>
      <c r="L2633" s="1">
        <v>122.2072</v>
      </c>
      <c r="M2633">
        <v>4.2</v>
      </c>
    </row>
    <row r="2634" spans="1:13" x14ac:dyDescent="0.3">
      <c r="A2634" t="s">
        <v>10</v>
      </c>
      <c r="B2634">
        <v>2633</v>
      </c>
      <c r="C2634" t="s">
        <v>1095</v>
      </c>
      <c r="D2634" t="s">
        <v>95</v>
      </c>
      <c r="E2634">
        <v>2018</v>
      </c>
      <c r="F2634" t="s">
        <v>45</v>
      </c>
      <c r="G2634" t="s">
        <v>21</v>
      </c>
      <c r="H2634" t="s">
        <v>15</v>
      </c>
      <c r="I2634" t="s">
        <v>46</v>
      </c>
      <c r="J2634">
        <v>7.8943220999999994E-2</v>
      </c>
      <c r="K2634"/>
      <c r="L2634" s="1">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K2635"/>
      <c r="L2635" s="1">
        <v>262.7568</v>
      </c>
      <c r="M2635">
        <v>4.2</v>
      </c>
    </row>
    <row r="2636" spans="1:13" x14ac:dyDescent="0.3">
      <c r="A2636" t="s">
        <v>10</v>
      </c>
      <c r="B2636">
        <v>2635</v>
      </c>
      <c r="C2636" t="s">
        <v>1138</v>
      </c>
      <c r="D2636" t="s">
        <v>57</v>
      </c>
      <c r="E2636">
        <v>2018</v>
      </c>
      <c r="F2636" t="s">
        <v>45</v>
      </c>
      <c r="G2636" t="s">
        <v>21</v>
      </c>
      <c r="H2636" t="s">
        <v>15</v>
      </c>
      <c r="I2636" t="s">
        <v>46</v>
      </c>
      <c r="J2636">
        <v>2.923013E-2</v>
      </c>
      <c r="K2636"/>
      <c r="L2636" s="1">
        <v>189.4556</v>
      </c>
      <c r="M2636">
        <v>4.2</v>
      </c>
    </row>
    <row r="2637" spans="1:13" x14ac:dyDescent="0.3">
      <c r="A2637" t="s">
        <v>10</v>
      </c>
      <c r="B2637">
        <v>2636</v>
      </c>
      <c r="C2637" t="s">
        <v>1358</v>
      </c>
      <c r="D2637" t="s">
        <v>28</v>
      </c>
      <c r="E2637">
        <v>2018</v>
      </c>
      <c r="F2637" t="s">
        <v>45</v>
      </c>
      <c r="G2637" t="s">
        <v>21</v>
      </c>
      <c r="H2637" t="s">
        <v>15</v>
      </c>
      <c r="I2637" t="s">
        <v>46</v>
      </c>
      <c r="J2637">
        <v>1.612717E-2</v>
      </c>
      <c r="K2637"/>
      <c r="L2637" s="1">
        <v>189.35560000000001</v>
      </c>
      <c r="M2637">
        <v>4.2</v>
      </c>
    </row>
    <row r="2638" spans="1:13" x14ac:dyDescent="0.3">
      <c r="A2638" t="s">
        <v>10</v>
      </c>
      <c r="B2638">
        <v>2637</v>
      </c>
      <c r="C2638" t="s">
        <v>1050</v>
      </c>
      <c r="D2638" t="s">
        <v>28</v>
      </c>
      <c r="E2638">
        <v>2018</v>
      </c>
      <c r="F2638" t="s">
        <v>45</v>
      </c>
      <c r="G2638" t="s">
        <v>21</v>
      </c>
      <c r="H2638" t="s">
        <v>15</v>
      </c>
      <c r="I2638" t="s">
        <v>46</v>
      </c>
      <c r="J2638">
        <v>2.6440214E-2</v>
      </c>
      <c r="K2638"/>
      <c r="L2638" s="1">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K2639"/>
      <c r="L2639" s="1">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K2640"/>
      <c r="L2640" s="1">
        <v>181.6318</v>
      </c>
      <c r="M2640">
        <v>4.2</v>
      </c>
    </row>
    <row r="2641" spans="1:13" x14ac:dyDescent="0.3">
      <c r="A2641" t="s">
        <v>10</v>
      </c>
      <c r="B2641">
        <v>2640</v>
      </c>
      <c r="C2641" t="s">
        <v>554</v>
      </c>
      <c r="D2641" t="s">
        <v>67</v>
      </c>
      <c r="E2641">
        <v>2018</v>
      </c>
      <c r="F2641" t="s">
        <v>45</v>
      </c>
      <c r="G2641" t="s">
        <v>21</v>
      </c>
      <c r="H2641" t="s">
        <v>15</v>
      </c>
      <c r="I2641" t="s">
        <v>46</v>
      </c>
      <c r="J2641">
        <v>0.106538757</v>
      </c>
      <c r="K2641"/>
      <c r="L2641" s="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K2642"/>
      <c r="L2642" s="1">
        <v>144.0102</v>
      </c>
      <c r="M2642">
        <v>4.2</v>
      </c>
    </row>
    <row r="2643" spans="1:13" x14ac:dyDescent="0.3">
      <c r="A2643" t="s">
        <v>10</v>
      </c>
      <c r="B2643">
        <v>2642</v>
      </c>
      <c r="C2643" t="s">
        <v>1361</v>
      </c>
      <c r="D2643" t="s">
        <v>24</v>
      </c>
      <c r="E2643">
        <v>2018</v>
      </c>
      <c r="F2643" t="s">
        <v>45</v>
      </c>
      <c r="G2643" t="s">
        <v>21</v>
      </c>
      <c r="H2643" t="s">
        <v>15</v>
      </c>
      <c r="I2643" t="s">
        <v>46</v>
      </c>
      <c r="J2643">
        <v>0</v>
      </c>
      <c r="K2643"/>
      <c r="L2643" s="1">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K2644"/>
      <c r="L2644" s="1">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K2645"/>
      <c r="L2645" s="1">
        <v>241.25120000000001</v>
      </c>
      <c r="M2645">
        <v>4.2</v>
      </c>
    </row>
    <row r="2646" spans="1:13" x14ac:dyDescent="0.3">
      <c r="A2646" t="s">
        <v>10</v>
      </c>
      <c r="B2646">
        <v>2645</v>
      </c>
      <c r="C2646" t="s">
        <v>614</v>
      </c>
      <c r="D2646" t="s">
        <v>48</v>
      </c>
      <c r="E2646">
        <v>2018</v>
      </c>
      <c r="F2646" t="s">
        <v>45</v>
      </c>
      <c r="G2646" t="s">
        <v>21</v>
      </c>
      <c r="H2646" t="s">
        <v>15</v>
      </c>
      <c r="I2646" t="s">
        <v>46</v>
      </c>
      <c r="J2646">
        <v>8.9512542E-2</v>
      </c>
      <c r="K2646"/>
      <c r="L2646" s="1">
        <v>133.1626</v>
      </c>
      <c r="M2646">
        <v>4.2</v>
      </c>
    </row>
    <row r="2647" spans="1:13" x14ac:dyDescent="0.3">
      <c r="A2647" t="s">
        <v>10</v>
      </c>
      <c r="B2647">
        <v>2646</v>
      </c>
      <c r="C2647" t="s">
        <v>319</v>
      </c>
      <c r="D2647" t="s">
        <v>48</v>
      </c>
      <c r="E2647">
        <v>2018</v>
      </c>
      <c r="F2647" t="s">
        <v>45</v>
      </c>
      <c r="G2647" t="s">
        <v>21</v>
      </c>
      <c r="H2647" t="s">
        <v>15</v>
      </c>
      <c r="I2647" t="s">
        <v>46</v>
      </c>
      <c r="J2647">
        <v>0.104786172</v>
      </c>
      <c r="K2647"/>
      <c r="L2647" s="1">
        <v>172.2764</v>
      </c>
      <c r="M2647">
        <v>4.2</v>
      </c>
    </row>
    <row r="2648" spans="1:13" x14ac:dyDescent="0.3">
      <c r="A2648" t="s">
        <v>10</v>
      </c>
      <c r="B2648">
        <v>2647</v>
      </c>
      <c r="C2648" t="s">
        <v>1031</v>
      </c>
      <c r="D2648" t="s">
        <v>48</v>
      </c>
      <c r="E2648">
        <v>2018</v>
      </c>
      <c r="F2648" t="s">
        <v>45</v>
      </c>
      <c r="G2648" t="s">
        <v>21</v>
      </c>
      <c r="H2648" t="s">
        <v>15</v>
      </c>
      <c r="I2648" t="s">
        <v>46</v>
      </c>
      <c r="J2648">
        <v>4.1754583999999997E-2</v>
      </c>
      <c r="K2648"/>
      <c r="L2648" s="1">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K2649"/>
      <c r="L2649" s="1">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s="1">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K2651"/>
      <c r="L2651" s="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s="1">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s="1">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s="1">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s="1">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s="1">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s="1">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s="1">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s="1">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s="1">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s="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s="1">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s="1">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s="1">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s="1">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s="1">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K2667"/>
      <c r="L2667" s="1">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K2668"/>
      <c r="L2668" s="1">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K2669"/>
      <c r="L2669" s="1">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s="1">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s="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s="1">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s="1">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s="1">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s="1">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s="1">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s="1">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s="1">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s="1">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s="1">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s="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s="1">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s="1">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K2684"/>
      <c r="L2684" s="1">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s="1">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s="1">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s="1">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s="1">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s="1">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s="1">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s="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s="1">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s="1">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s="1">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s="1">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s="1">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s="1">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K2698"/>
      <c r="L2698" s="1">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s="1">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s="1">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s="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s="1">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s="1">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s="1">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K2705"/>
      <c r="L2705" s="1">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s="1">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K2707"/>
      <c r="L2707" s="1">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s="1">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s="1">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s="1">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s="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s="1">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s="1">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s="1">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s="1">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s="1">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s="1">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s="1">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s="1">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s="1">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s="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s="1">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s="1">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s="1">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s="1">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s="1">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s="1">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s="1">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s="1">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s="1">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s="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s="1">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s="1">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s="1">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s="1">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s="1">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s="1">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s="1">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s="1">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s="1">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s="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s="1">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s="1">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s="1">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s="1">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s="1">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s="1">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s="1">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s="1">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s="1">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s="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s="1">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K2753"/>
      <c r="L2753" s="1">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K2754"/>
      <c r="L2754" s="1">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K2755"/>
      <c r="L2755" s="1">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K2756"/>
      <c r="L2756" s="1">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K2757"/>
      <c r="L2757" s="1">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K2758"/>
      <c r="L2758" s="1">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K2759"/>
      <c r="L2759" s="1">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K2760"/>
      <c r="L2760" s="1">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K2761"/>
      <c r="L2761" s="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K2762"/>
      <c r="L2762" s="1">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K2763"/>
      <c r="L2763" s="1">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K2764"/>
      <c r="L2764" s="1">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K2765"/>
      <c r="L2765" s="1">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K2766"/>
      <c r="L2766" s="1">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K2767"/>
      <c r="L2767" s="1">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K2768"/>
      <c r="L2768" s="1">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K2769"/>
      <c r="L2769" s="1">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K2770"/>
      <c r="L2770" s="1">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K2771"/>
      <c r="L2771" s="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K2772"/>
      <c r="L2772" s="1">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K2773"/>
      <c r="L2773" s="1">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K2774"/>
      <c r="L2774" s="1">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K2775"/>
      <c r="L2775" s="1">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K2776"/>
      <c r="L2776" s="1">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K2777"/>
      <c r="L2777" s="1">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K2778"/>
      <c r="L2778" s="1">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K2779"/>
      <c r="L2779" s="1">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K2780"/>
      <c r="L2780" s="1">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K2781"/>
      <c r="L2781" s="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K2782"/>
      <c r="L2782" s="1">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K2783"/>
      <c r="L2783" s="1">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K2784"/>
      <c r="L2784" s="1">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K2785"/>
      <c r="L2785" s="1">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s="1">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s="1">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s="1">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s="1">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s="1">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s="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s="1">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s="1">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s="1">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s="1">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s="1">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s="1">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s="1">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s="1">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s="1">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s="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s="1">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s="1">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s="1">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s="1">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s="1">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s="1">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s="1">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s="1">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s="1">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s="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s="1">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s="1">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s="1">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s="1">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s="1">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s="1">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s="1">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s="1">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s="1">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s="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s="1">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s="1">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s="1">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s="1">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s="1">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s="1">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s="1">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s="1">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s="1">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s="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s="1">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s="1">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s="1">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s="1">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s="1">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s="1">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s="1">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s="1">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s="1">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s="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s="1">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s="1">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s="1">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s="1">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s="1">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s="1">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s="1">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s="1">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s="1">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s="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s="1">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s="1">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s="1">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s="1">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s="1">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s="1">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s="1">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s="1">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s="1">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s="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s="1">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s="1">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s="1">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s="1">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s="1">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s="1">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s="1">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s="1">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s="1">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s="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s="1">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s="1">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s="1">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s="1">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s="1">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s="1">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s="1">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s="1">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s="1">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s="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s="1">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s="1">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s="1">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s="1">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s="1">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s="1">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s="1">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s="1">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s="1">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s="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s="1">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s="1">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s="1">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s="1">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s="1">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s="1">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s="1">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s="1">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s="1">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s="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s="1">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s="1">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s="1">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s="1">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s="1">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s="1">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s="1">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s="1">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s="1">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s="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s="1">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s="1">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s="1">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s="1">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s="1">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s="1">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s="1">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s="1">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s="1">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s="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s="1">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s="1">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s="1">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s="1">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s="1">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s="1">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s="1">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s="1">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s="1">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s="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s="1">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s="1">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s="1">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s="1">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s="1">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s="1">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s="1">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s="1">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s="1">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s="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s="1">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s="1">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s="1">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s="1">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s="1">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s="1">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s="1">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s="1">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s="1">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s="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s="1">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s="1">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s="1">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s="1">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s="1">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s="1">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s="1">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s="1">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s="1">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s="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s="1">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s="1">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s="1">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s="1">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s="1">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s="1">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s="1">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s="1">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s="1">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s="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s="1">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s="1">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s="1">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s="1">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s="1">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s="1">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s="1">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s="1">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s="1">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s="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s="1">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s="1">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s="1">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s="1">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s="1">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s="1">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s="1">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s="1">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s="1">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s="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s="1">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s="1">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s="1">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s="1">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s="1">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s="1">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s="1">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s="1">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s="1">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s="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s="1">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s="1">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s="1">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s="1">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s="1">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s="1">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s="1">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s="1">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s="1">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s="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s="1">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s="1">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s="1">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s="1">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s="1">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s="1">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s="1">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s="1">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s="1">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s="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s="1">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s="1">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s="1">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s="1">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s="1">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s="1">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s="1">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s="1">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s="1">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s="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s="1">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s="1">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s="1">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s="1">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s="1">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s="1">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s="1">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s="1">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s="1">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s="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s="1">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s="1">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s="1">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s="1">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s="1">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s="1">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s="1">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s="1">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s="1">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s="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s="1">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s="1">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s="1">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s="1">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s="1">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s="1">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s="1">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s="1">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s="1">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s="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s="1">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s="1">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s="1">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s="1">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s="1">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s="1">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s="1">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s="1">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s="1">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s="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s="1">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s="1">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s="1">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s="1">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s="1">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s="1">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s="1">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s="1">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s="1">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s="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s="1">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s="1">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s="1">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s="1">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s="1">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s="1">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s="1">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s="1">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s="1">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s="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s="1">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s="1">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s="1">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s="1">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s="1">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s="1">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s="1">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s="1">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s="1">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s="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s="1">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s="1">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s="1">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s="1">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s="1">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s="1">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s="1">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s="1">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s="1">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s="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s="1">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s="1">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s="1">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s="1">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s="1">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s="1">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s="1">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s="1">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s="1">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s="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s="1">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s="1">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s="1">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s="1">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s="1">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s="1">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s="1">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K3129"/>
      <c r="L3129" s="1">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K3130"/>
      <c r="L3130" s="1">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K3131"/>
      <c r="L3131" s="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K3132"/>
      <c r="L3132" s="1">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K3133"/>
      <c r="L3133" s="1">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K3134"/>
      <c r="L3134" s="1">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K3135"/>
      <c r="L3135" s="1">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K3136"/>
      <c r="L3136" s="1">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K3137"/>
      <c r="L3137" s="1">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K3138"/>
      <c r="L3138" s="1">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K3139"/>
      <c r="L3139" s="1">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K3140"/>
      <c r="L3140" s="1">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K3141"/>
      <c r="L3141" s="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K3142"/>
      <c r="L3142" s="1">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K3143"/>
      <c r="L3143" s="1">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K3144"/>
      <c r="L3144" s="1">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K3145"/>
      <c r="L3145" s="1">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K3146"/>
      <c r="L3146" s="1">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K3147"/>
      <c r="L3147" s="1">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K3148"/>
      <c r="L3148" s="1">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K3149"/>
      <c r="L3149" s="1">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K3150"/>
      <c r="L3150" s="1">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K3151"/>
      <c r="L3151" s="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K3152"/>
      <c r="L3152" s="1">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K3153"/>
      <c r="L3153" s="1">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K3154"/>
      <c r="L3154" s="1">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K3155"/>
      <c r="L3155" s="1">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K3156"/>
      <c r="L3156" s="1">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K3157"/>
      <c r="L3157" s="1">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K3158"/>
      <c r="L3158" s="1">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K3159"/>
      <c r="L3159" s="1">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K3160"/>
      <c r="L3160" s="1">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K3161"/>
      <c r="L3161" s="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K3162"/>
      <c r="L3162" s="1">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K3163"/>
      <c r="L3163" s="1">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K3164"/>
      <c r="L3164" s="1">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K3165"/>
      <c r="L3165" s="1">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K3166"/>
      <c r="L3166" s="1">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K3167"/>
      <c r="L3167" s="1">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K3168"/>
      <c r="L3168" s="1">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K3169"/>
      <c r="L3169" s="1">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K3170"/>
      <c r="L3170" s="1">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K3171"/>
      <c r="L3171" s="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K3172"/>
      <c r="L3172" s="1">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K3173"/>
      <c r="L3173" s="1">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K3174"/>
      <c r="L3174" s="1">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s="1">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s="1">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s="1">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s="1">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s="1">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s="1">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s="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K3182"/>
      <c r="L3182" s="1">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s="1">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s="1">
        <v>170.1764</v>
      </c>
      <c r="M3184">
        <v>4</v>
      </c>
    </row>
    <row r="3185" spans="1:13" x14ac:dyDescent="0.3">
      <c r="A3185" t="s">
        <v>17</v>
      </c>
      <c r="B3185">
        <v>3184</v>
      </c>
      <c r="C3185" t="s">
        <v>100</v>
      </c>
      <c r="D3185" t="s">
        <v>24</v>
      </c>
      <c r="E3185">
        <v>2018</v>
      </c>
      <c r="F3185" t="s">
        <v>138</v>
      </c>
      <c r="G3185" t="s">
        <v>14</v>
      </c>
      <c r="H3185" t="s">
        <v>26</v>
      </c>
      <c r="I3185" t="s">
        <v>40</v>
      </c>
      <c r="J3185">
        <v>9.7145949999999995E-3</v>
      </c>
      <c r="K3185"/>
      <c r="L3185" s="1">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s="1">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s="1">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s="1">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s="1">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s="1">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s="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s="1">
        <v>81.593400000000003</v>
      </c>
      <c r="M3192">
        <v>4</v>
      </c>
    </row>
    <row r="3193" spans="1:13" x14ac:dyDescent="0.3">
      <c r="A3193" t="s">
        <v>17</v>
      </c>
      <c r="B3193">
        <v>3192</v>
      </c>
      <c r="C3193" t="s">
        <v>1067</v>
      </c>
      <c r="D3193" t="s">
        <v>61</v>
      </c>
      <c r="E3193">
        <v>2018</v>
      </c>
      <c r="F3193" t="s">
        <v>45</v>
      </c>
      <c r="G3193" t="s">
        <v>21</v>
      </c>
      <c r="H3193" t="s">
        <v>15</v>
      </c>
      <c r="I3193" t="s">
        <v>46</v>
      </c>
      <c r="J3193">
        <v>4.357366E-2</v>
      </c>
      <c r="K3193"/>
      <c r="L3193" s="1">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s="1">
        <v>179.39760000000001</v>
      </c>
      <c r="M3194">
        <v>4</v>
      </c>
    </row>
    <row r="3195" spans="1:13" x14ac:dyDescent="0.3">
      <c r="A3195" t="s">
        <v>17</v>
      </c>
      <c r="B3195">
        <v>3194</v>
      </c>
      <c r="C3195" t="s">
        <v>1440</v>
      </c>
      <c r="D3195" t="s">
        <v>24</v>
      </c>
      <c r="E3195">
        <v>2018</v>
      </c>
      <c r="F3195" t="s">
        <v>138</v>
      </c>
      <c r="G3195" t="s">
        <v>14</v>
      </c>
      <c r="H3195" t="s">
        <v>26</v>
      </c>
      <c r="I3195" t="s">
        <v>40</v>
      </c>
      <c r="J3195">
        <v>0.148392623</v>
      </c>
      <c r="K3195"/>
      <c r="L3195" s="1">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s="1">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K3197"/>
      <c r="L3197" s="1">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s="1">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K3199"/>
      <c r="L3199" s="1">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s="1">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s="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s="1">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s="1">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s="1">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s="1">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s="1">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s="1">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s="1">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s="1">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s="1">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K3211"/>
      <c r="L3211" s="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s="1">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s="1">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s="1">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s="1">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s="1">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s="1">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s="1">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s="1">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s="1">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s="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s="1">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s="1">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s="1">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s="1">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s="1">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s="1">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s="1">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s="1">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s="1">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s="1">
        <v>127.3678</v>
      </c>
      <c r="M3231">
        <v>4</v>
      </c>
    </row>
    <row r="3232" spans="1:13" x14ac:dyDescent="0.3">
      <c r="A3232" t="s">
        <v>10</v>
      </c>
      <c r="B3232">
        <v>3231</v>
      </c>
      <c r="C3232" t="s">
        <v>127</v>
      </c>
      <c r="D3232" t="s">
        <v>24</v>
      </c>
      <c r="E3232">
        <v>2018</v>
      </c>
      <c r="F3232" t="s">
        <v>45</v>
      </c>
      <c r="G3232" t="s">
        <v>21</v>
      </c>
      <c r="H3232" t="s">
        <v>15</v>
      </c>
      <c r="I3232" t="s">
        <v>46</v>
      </c>
      <c r="J3232">
        <v>7.6790921999999998E-2</v>
      </c>
      <c r="K3232"/>
      <c r="L3232" s="1">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s="1">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s="1">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s="1">
        <v>127.6678</v>
      </c>
      <c r="M3235">
        <v>4</v>
      </c>
    </row>
    <row r="3236" spans="1:13" x14ac:dyDescent="0.3">
      <c r="A3236" t="s">
        <v>10</v>
      </c>
      <c r="B3236">
        <v>3235</v>
      </c>
      <c r="C3236" t="s">
        <v>338</v>
      </c>
      <c r="D3236" t="s">
        <v>67</v>
      </c>
      <c r="E3236">
        <v>2017</v>
      </c>
      <c r="F3236" t="s">
        <v>50</v>
      </c>
      <c r="G3236" t="s">
        <v>34</v>
      </c>
      <c r="H3236" t="s">
        <v>26</v>
      </c>
      <c r="I3236" t="s">
        <v>16</v>
      </c>
      <c r="J3236">
        <v>0</v>
      </c>
      <c r="K3236">
        <v>18.5</v>
      </c>
      <c r="L3236" s="1">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s="1">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s="1">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K3239"/>
      <c r="L3239" s="1">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s="1">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K3241"/>
      <c r="L3241" s="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s="1">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s="1">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s="1">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s="1">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s="1">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s="1">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K3248"/>
      <c r="L3248" s="1">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s="1">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s="1">
        <v>161.7578</v>
      </c>
      <c r="M3250">
        <v>4</v>
      </c>
    </row>
    <row r="3251" spans="1:13" x14ac:dyDescent="0.3">
      <c r="A3251" t="s">
        <v>17</v>
      </c>
      <c r="B3251">
        <v>3250</v>
      </c>
      <c r="C3251" t="s">
        <v>798</v>
      </c>
      <c r="D3251" t="s">
        <v>42</v>
      </c>
      <c r="E3251">
        <v>2018</v>
      </c>
      <c r="F3251" t="s">
        <v>45</v>
      </c>
      <c r="G3251" t="s">
        <v>21</v>
      </c>
      <c r="H3251" t="s">
        <v>15</v>
      </c>
      <c r="I3251" t="s">
        <v>46</v>
      </c>
      <c r="J3251">
        <v>3.9055755999999997E-2</v>
      </c>
      <c r="K3251"/>
      <c r="L3251" s="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s="1">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s="1">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s="1">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s="1">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s="1">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s="1">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s="1">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s="1">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s="1">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s="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s="1">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s="1">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s="1">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s="1">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s="1">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s="1">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s="1">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s="1">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s="1">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s="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s="1">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s="1">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s="1">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s="1">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s="1">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s="1">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s="1">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s="1">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s="1">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s="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s="1">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s="1">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s="1">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s="1">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s="1">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s="1">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s="1">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s="1">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s="1">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s="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s="1">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s="1">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s="1">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s="1">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s="1">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s="1">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s="1">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s="1">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s="1">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s="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s="1">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s="1">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s="1">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s="1">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s="1">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s="1">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s="1">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s="1">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s="1">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s="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s="1">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s="1">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K3314"/>
      <c r="L3314" s="1">
        <v>181.5976</v>
      </c>
      <c r="M3314">
        <v>4</v>
      </c>
    </row>
    <row r="3315" spans="1:13" x14ac:dyDescent="0.3">
      <c r="A3315" t="s">
        <v>17</v>
      </c>
      <c r="B3315">
        <v>3314</v>
      </c>
      <c r="C3315" t="s">
        <v>681</v>
      </c>
      <c r="D3315" t="s">
        <v>95</v>
      </c>
      <c r="E3315">
        <v>2018</v>
      </c>
      <c r="F3315" t="s">
        <v>138</v>
      </c>
      <c r="G3315" t="s">
        <v>14</v>
      </c>
      <c r="H3315" t="s">
        <v>26</v>
      </c>
      <c r="I3315" t="s">
        <v>40</v>
      </c>
      <c r="J3315">
        <v>0.13319835499999999</v>
      </c>
      <c r="K3315"/>
      <c r="L3315" s="1">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K3316"/>
      <c r="L3316" s="1">
        <v>125.6046</v>
      </c>
      <c r="M3316">
        <v>4</v>
      </c>
    </row>
    <row r="3317" spans="1:13" x14ac:dyDescent="0.3">
      <c r="A3317" t="s">
        <v>17</v>
      </c>
      <c r="B3317">
        <v>3316</v>
      </c>
      <c r="C3317" t="s">
        <v>1455</v>
      </c>
      <c r="D3317" t="s">
        <v>74</v>
      </c>
      <c r="E3317">
        <v>2018</v>
      </c>
      <c r="F3317" t="s">
        <v>138</v>
      </c>
      <c r="G3317" t="s">
        <v>14</v>
      </c>
      <c r="H3317" t="s">
        <v>26</v>
      </c>
      <c r="I3317" t="s">
        <v>40</v>
      </c>
      <c r="J3317">
        <v>0.106907604</v>
      </c>
      <c r="K3317"/>
      <c r="L3317" s="1">
        <v>162.8526</v>
      </c>
      <c r="M3317">
        <v>4</v>
      </c>
    </row>
    <row r="3318" spans="1:13" x14ac:dyDescent="0.3">
      <c r="A3318" t="s">
        <v>17</v>
      </c>
      <c r="B3318">
        <v>3317</v>
      </c>
      <c r="C3318" t="s">
        <v>1285</v>
      </c>
      <c r="D3318" t="s">
        <v>28</v>
      </c>
      <c r="E3318">
        <v>2018</v>
      </c>
      <c r="F3318" t="s">
        <v>138</v>
      </c>
      <c r="G3318" t="s">
        <v>14</v>
      </c>
      <c r="H3318" t="s">
        <v>26</v>
      </c>
      <c r="I3318" t="s">
        <v>40</v>
      </c>
      <c r="J3318">
        <v>0.212293753</v>
      </c>
      <c r="K3318"/>
      <c r="L3318" s="1">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K3319"/>
      <c r="L3319" s="1">
        <v>74.801199999999994</v>
      </c>
      <c r="M3319">
        <v>4</v>
      </c>
    </row>
    <row r="3320" spans="1:13" x14ac:dyDescent="0.3">
      <c r="A3320" t="s">
        <v>17</v>
      </c>
      <c r="B3320">
        <v>3319</v>
      </c>
      <c r="C3320" t="s">
        <v>1456</v>
      </c>
      <c r="D3320" t="s">
        <v>67</v>
      </c>
      <c r="E3320">
        <v>2018</v>
      </c>
      <c r="F3320" t="s">
        <v>138</v>
      </c>
      <c r="G3320" t="s">
        <v>14</v>
      </c>
      <c r="H3320" t="s">
        <v>26</v>
      </c>
      <c r="I3320" t="s">
        <v>40</v>
      </c>
      <c r="J3320">
        <v>4.461205E-2</v>
      </c>
      <c r="K3320"/>
      <c r="L3320" s="1">
        <v>241.15379999999999</v>
      </c>
      <c r="M3320">
        <v>4</v>
      </c>
    </row>
    <row r="3321" spans="1:13" x14ac:dyDescent="0.3">
      <c r="A3321" t="s">
        <v>17</v>
      </c>
      <c r="B3321">
        <v>3320</v>
      </c>
      <c r="C3321" t="s">
        <v>1277</v>
      </c>
      <c r="D3321" t="s">
        <v>67</v>
      </c>
      <c r="E3321">
        <v>2018</v>
      </c>
      <c r="F3321" t="s">
        <v>138</v>
      </c>
      <c r="G3321" t="s">
        <v>14</v>
      </c>
      <c r="H3321" t="s">
        <v>26</v>
      </c>
      <c r="I3321" t="s">
        <v>40</v>
      </c>
      <c r="J3321">
        <v>0.122832172</v>
      </c>
      <c r="K3321"/>
      <c r="L3321" s="1">
        <v>217.685</v>
      </c>
      <c r="M3321">
        <v>4</v>
      </c>
    </row>
    <row r="3322" spans="1:13" x14ac:dyDescent="0.3">
      <c r="A3322" t="s">
        <v>17</v>
      </c>
      <c r="B3322">
        <v>3321</v>
      </c>
      <c r="C3322" t="s">
        <v>102</v>
      </c>
      <c r="D3322" t="s">
        <v>24</v>
      </c>
      <c r="E3322">
        <v>2018</v>
      </c>
      <c r="F3322" t="s">
        <v>138</v>
      </c>
      <c r="G3322" t="s">
        <v>14</v>
      </c>
      <c r="H3322" t="s">
        <v>26</v>
      </c>
      <c r="I3322" t="s">
        <v>40</v>
      </c>
      <c r="J3322">
        <v>2.9084548000000002E-2</v>
      </c>
      <c r="K3322"/>
      <c r="L3322" s="1">
        <v>122.0098</v>
      </c>
      <c r="M3322">
        <v>4</v>
      </c>
    </row>
    <row r="3323" spans="1:13" x14ac:dyDescent="0.3">
      <c r="A3323" t="s">
        <v>17</v>
      </c>
      <c r="B3323">
        <v>3322</v>
      </c>
      <c r="C3323" t="s">
        <v>1066</v>
      </c>
      <c r="D3323" t="s">
        <v>24</v>
      </c>
      <c r="E3323">
        <v>2018</v>
      </c>
      <c r="F3323" t="s">
        <v>138</v>
      </c>
      <c r="G3323" t="s">
        <v>14</v>
      </c>
      <c r="H3323" t="s">
        <v>26</v>
      </c>
      <c r="I3323" t="s">
        <v>40</v>
      </c>
      <c r="J3323">
        <v>7.9146113000000004E-2</v>
      </c>
      <c r="K3323"/>
      <c r="L3323" s="1">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K3324"/>
      <c r="L3324" s="1">
        <v>170.2106</v>
      </c>
      <c r="M3324">
        <v>4</v>
      </c>
    </row>
    <row r="3325" spans="1:13" x14ac:dyDescent="0.3">
      <c r="A3325" t="s">
        <v>17</v>
      </c>
      <c r="B3325">
        <v>3324</v>
      </c>
      <c r="C3325" t="s">
        <v>51</v>
      </c>
      <c r="D3325" t="s">
        <v>12</v>
      </c>
      <c r="E3325">
        <v>2018</v>
      </c>
      <c r="F3325" t="s">
        <v>138</v>
      </c>
      <c r="G3325" t="s">
        <v>14</v>
      </c>
      <c r="H3325" t="s">
        <v>26</v>
      </c>
      <c r="I3325" t="s">
        <v>40</v>
      </c>
      <c r="J3325">
        <v>0.22483730800000001</v>
      </c>
      <c r="K3325"/>
      <c r="L3325" s="1">
        <v>112.7886</v>
      </c>
      <c r="M3325">
        <v>4</v>
      </c>
    </row>
    <row r="3326" spans="1:13" x14ac:dyDescent="0.3">
      <c r="A3326" t="s">
        <v>17</v>
      </c>
      <c r="B3326">
        <v>3325</v>
      </c>
      <c r="C3326" t="s">
        <v>297</v>
      </c>
      <c r="D3326" t="s">
        <v>19</v>
      </c>
      <c r="E3326">
        <v>2018</v>
      </c>
      <c r="F3326" t="s">
        <v>138</v>
      </c>
      <c r="G3326" t="s">
        <v>14</v>
      </c>
      <c r="H3326" t="s">
        <v>26</v>
      </c>
      <c r="I3326" t="s">
        <v>40</v>
      </c>
      <c r="J3326">
        <v>0.15719001699999999</v>
      </c>
      <c r="K3326"/>
      <c r="L3326" s="1">
        <v>156.8604</v>
      </c>
      <c r="M3326">
        <v>4</v>
      </c>
    </row>
    <row r="3327" spans="1:13" x14ac:dyDescent="0.3">
      <c r="A3327" t="s">
        <v>17</v>
      </c>
      <c r="B3327">
        <v>3326</v>
      </c>
      <c r="C3327" t="s">
        <v>1350</v>
      </c>
      <c r="D3327" t="s">
        <v>19</v>
      </c>
      <c r="E3327">
        <v>2018</v>
      </c>
      <c r="F3327" t="s">
        <v>138</v>
      </c>
      <c r="G3327" t="s">
        <v>14</v>
      </c>
      <c r="H3327" t="s">
        <v>26</v>
      </c>
      <c r="I3327" t="s">
        <v>40</v>
      </c>
      <c r="J3327">
        <v>5.0535311999999999E-2</v>
      </c>
      <c r="K3327"/>
      <c r="L3327" s="1">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K3328"/>
      <c r="L3328" s="1">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K3329"/>
      <c r="L3329" s="1">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K3330"/>
      <c r="L3330" s="1">
        <v>179.166</v>
      </c>
      <c r="M3330">
        <v>4</v>
      </c>
    </row>
    <row r="3331" spans="1:13" x14ac:dyDescent="0.3">
      <c r="A3331" t="s">
        <v>17</v>
      </c>
      <c r="B3331">
        <v>3330</v>
      </c>
      <c r="C3331" t="s">
        <v>998</v>
      </c>
      <c r="D3331" t="s">
        <v>64</v>
      </c>
      <c r="E3331">
        <v>2018</v>
      </c>
      <c r="F3331" t="s">
        <v>138</v>
      </c>
      <c r="G3331" t="s">
        <v>14</v>
      </c>
      <c r="H3331" t="s">
        <v>26</v>
      </c>
      <c r="I3331" t="s">
        <v>40</v>
      </c>
      <c r="J3331">
        <v>0.142393355</v>
      </c>
      <c r="K3331"/>
      <c r="L3331" s="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K3332"/>
      <c r="L3332" s="1">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K3333"/>
      <c r="L3333" s="1">
        <v>189.553</v>
      </c>
      <c r="M3333">
        <v>4</v>
      </c>
    </row>
    <row r="3334" spans="1:13" x14ac:dyDescent="0.3">
      <c r="A3334" t="s">
        <v>17</v>
      </c>
      <c r="B3334">
        <v>3333</v>
      </c>
      <c r="C3334" t="s">
        <v>47</v>
      </c>
      <c r="D3334" t="s">
        <v>48</v>
      </c>
      <c r="E3334">
        <v>2018</v>
      </c>
      <c r="F3334" t="s">
        <v>138</v>
      </c>
      <c r="G3334" t="s">
        <v>14</v>
      </c>
      <c r="H3334" t="s">
        <v>26</v>
      </c>
      <c r="I3334" t="s">
        <v>40</v>
      </c>
      <c r="J3334">
        <v>0.148764535</v>
      </c>
      <c r="K3334"/>
      <c r="L3334" s="1">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K3335"/>
      <c r="L3335" s="1">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K3336"/>
      <c r="L3336" s="1">
        <v>82.859200000000001</v>
      </c>
      <c r="M3336">
        <v>4</v>
      </c>
    </row>
    <row r="3337" spans="1:13" x14ac:dyDescent="0.3">
      <c r="A3337" t="s">
        <v>10</v>
      </c>
      <c r="B3337">
        <v>3336</v>
      </c>
      <c r="C3337" t="s">
        <v>882</v>
      </c>
      <c r="D3337" t="s">
        <v>95</v>
      </c>
      <c r="E3337">
        <v>2018</v>
      </c>
      <c r="F3337" t="s">
        <v>138</v>
      </c>
      <c r="G3337" t="s">
        <v>14</v>
      </c>
      <c r="H3337" t="s">
        <v>26</v>
      </c>
      <c r="I3337" t="s">
        <v>40</v>
      </c>
      <c r="J3337">
        <v>0.212963193</v>
      </c>
      <c r="K3337"/>
      <c r="L3337" s="1">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K3338"/>
      <c r="L3338" s="1">
        <v>172.6422</v>
      </c>
      <c r="M3338">
        <v>4</v>
      </c>
    </row>
    <row r="3339" spans="1:13" x14ac:dyDescent="0.3">
      <c r="A3339" t="s">
        <v>10</v>
      </c>
      <c r="B3339">
        <v>3338</v>
      </c>
      <c r="C3339" t="s">
        <v>1457</v>
      </c>
      <c r="D3339" t="s">
        <v>57</v>
      </c>
      <c r="E3339">
        <v>2018</v>
      </c>
      <c r="F3339" t="s">
        <v>138</v>
      </c>
      <c r="G3339" t="s">
        <v>14</v>
      </c>
      <c r="H3339" t="s">
        <v>26</v>
      </c>
      <c r="I3339" t="s">
        <v>40</v>
      </c>
      <c r="J3339">
        <v>0.118535581</v>
      </c>
      <c r="K3339"/>
      <c r="L3339" s="1">
        <v>256.39879999999999</v>
      </c>
      <c r="M3339">
        <v>4</v>
      </c>
    </row>
    <row r="3340" spans="1:13" x14ac:dyDescent="0.3">
      <c r="A3340" t="s">
        <v>10</v>
      </c>
      <c r="B3340">
        <v>3339</v>
      </c>
      <c r="C3340" t="s">
        <v>1458</v>
      </c>
      <c r="D3340" t="s">
        <v>28</v>
      </c>
      <c r="E3340">
        <v>2018</v>
      </c>
      <c r="F3340" t="s">
        <v>138</v>
      </c>
      <c r="G3340" t="s">
        <v>14</v>
      </c>
      <c r="H3340" t="s">
        <v>26</v>
      </c>
      <c r="I3340" t="s">
        <v>40</v>
      </c>
      <c r="J3340">
        <v>0</v>
      </c>
      <c r="K3340"/>
      <c r="L3340" s="1">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K3341"/>
      <c r="L3341" s="1">
        <v>49.537599999999998</v>
      </c>
      <c r="M3341">
        <v>4</v>
      </c>
    </row>
    <row r="3342" spans="1:13" x14ac:dyDescent="0.3">
      <c r="A3342" t="s">
        <v>10</v>
      </c>
      <c r="B3342">
        <v>3341</v>
      </c>
      <c r="C3342" t="s">
        <v>1123</v>
      </c>
      <c r="D3342" t="s">
        <v>24</v>
      </c>
      <c r="E3342">
        <v>2018</v>
      </c>
      <c r="F3342" t="s">
        <v>138</v>
      </c>
      <c r="G3342" t="s">
        <v>14</v>
      </c>
      <c r="H3342" t="s">
        <v>26</v>
      </c>
      <c r="I3342" t="s">
        <v>40</v>
      </c>
      <c r="J3342">
        <v>2.9157849E-2</v>
      </c>
      <c r="K3342"/>
      <c r="L3342" s="1">
        <v>97.072599999999994</v>
      </c>
      <c r="M3342">
        <v>4</v>
      </c>
    </row>
    <row r="3343" spans="1:13" x14ac:dyDescent="0.3">
      <c r="A3343" t="s">
        <v>10</v>
      </c>
      <c r="B3343">
        <v>3342</v>
      </c>
      <c r="C3343" t="s">
        <v>941</v>
      </c>
      <c r="D3343" t="s">
        <v>24</v>
      </c>
      <c r="E3343">
        <v>2018</v>
      </c>
      <c r="F3343" t="s">
        <v>138</v>
      </c>
      <c r="G3343" t="s">
        <v>14</v>
      </c>
      <c r="H3343" t="s">
        <v>26</v>
      </c>
      <c r="I3343" t="s">
        <v>40</v>
      </c>
      <c r="J3343">
        <v>0.164438907</v>
      </c>
      <c r="K3343"/>
      <c r="L3343" s="1">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K3344"/>
      <c r="L3344" s="1">
        <v>193.982</v>
      </c>
      <c r="M3344">
        <v>4</v>
      </c>
    </row>
    <row r="3345" spans="1:13" x14ac:dyDescent="0.3">
      <c r="A3345" t="s">
        <v>10</v>
      </c>
      <c r="B3345">
        <v>3344</v>
      </c>
      <c r="C3345" t="s">
        <v>1426</v>
      </c>
      <c r="D3345" t="s">
        <v>12</v>
      </c>
      <c r="E3345">
        <v>2018</v>
      </c>
      <c r="F3345" t="s">
        <v>138</v>
      </c>
      <c r="G3345" t="s">
        <v>14</v>
      </c>
      <c r="H3345" t="s">
        <v>26</v>
      </c>
      <c r="I3345" t="s">
        <v>40</v>
      </c>
      <c r="J3345">
        <v>0.214139786</v>
      </c>
      <c r="K3345"/>
      <c r="L3345" s="1">
        <v>102.4016</v>
      </c>
      <c r="M3345">
        <v>4</v>
      </c>
    </row>
    <row r="3346" spans="1:13" x14ac:dyDescent="0.3">
      <c r="A3346" t="s">
        <v>10</v>
      </c>
      <c r="B3346">
        <v>3345</v>
      </c>
      <c r="C3346" t="s">
        <v>606</v>
      </c>
      <c r="D3346" t="s">
        <v>12</v>
      </c>
      <c r="E3346">
        <v>2018</v>
      </c>
      <c r="F3346" t="s">
        <v>138</v>
      </c>
      <c r="G3346" t="s">
        <v>14</v>
      </c>
      <c r="H3346" t="s">
        <v>26</v>
      </c>
      <c r="I3346" t="s">
        <v>40</v>
      </c>
      <c r="J3346">
        <v>0</v>
      </c>
      <c r="K3346"/>
      <c r="L3346" s="1">
        <v>178.5318</v>
      </c>
      <c r="M3346">
        <v>4</v>
      </c>
    </row>
    <row r="3347" spans="1:13" x14ac:dyDescent="0.3">
      <c r="A3347" t="s">
        <v>10</v>
      </c>
      <c r="B3347">
        <v>3346</v>
      </c>
      <c r="C3347" t="s">
        <v>1311</v>
      </c>
      <c r="D3347" t="s">
        <v>48</v>
      </c>
      <c r="E3347">
        <v>2018</v>
      </c>
      <c r="F3347" t="s">
        <v>138</v>
      </c>
      <c r="G3347" t="s">
        <v>14</v>
      </c>
      <c r="H3347" t="s">
        <v>26</v>
      </c>
      <c r="I3347" t="s">
        <v>40</v>
      </c>
      <c r="J3347">
        <v>1.251245E-2</v>
      </c>
      <c r="K3347"/>
      <c r="L3347" s="1">
        <v>38.747999999999998</v>
      </c>
      <c r="M3347">
        <v>4</v>
      </c>
    </row>
    <row r="3348" spans="1:13" x14ac:dyDescent="0.3">
      <c r="A3348" t="s">
        <v>10</v>
      </c>
      <c r="B3348">
        <v>3347</v>
      </c>
      <c r="C3348" t="s">
        <v>1459</v>
      </c>
      <c r="D3348" t="s">
        <v>48</v>
      </c>
      <c r="E3348">
        <v>2018</v>
      </c>
      <c r="F3348" t="s">
        <v>138</v>
      </c>
      <c r="G3348" t="s">
        <v>14</v>
      </c>
      <c r="H3348" t="s">
        <v>26</v>
      </c>
      <c r="I3348" t="s">
        <v>40</v>
      </c>
      <c r="J3348">
        <v>4.022593E-2</v>
      </c>
      <c r="K3348"/>
      <c r="L3348" s="1">
        <v>210.99279999999999</v>
      </c>
      <c r="M3348">
        <v>4</v>
      </c>
    </row>
    <row r="3349" spans="1:13" x14ac:dyDescent="0.3">
      <c r="A3349" t="s">
        <v>35</v>
      </c>
      <c r="B3349">
        <v>3348</v>
      </c>
      <c r="C3349" t="s">
        <v>585</v>
      </c>
      <c r="D3349" t="s">
        <v>67</v>
      </c>
      <c r="E3349">
        <v>2018</v>
      </c>
      <c r="F3349" t="s">
        <v>138</v>
      </c>
      <c r="G3349" t="s">
        <v>14</v>
      </c>
      <c r="H3349" t="s">
        <v>26</v>
      </c>
      <c r="I3349" t="s">
        <v>40</v>
      </c>
      <c r="J3349">
        <v>0.10818157</v>
      </c>
      <c r="K3349"/>
      <c r="L3349" s="1">
        <v>149.60499999999999</v>
      </c>
      <c r="M3349">
        <v>4</v>
      </c>
    </row>
    <row r="3350" spans="1:13" x14ac:dyDescent="0.3">
      <c r="A3350" t="s">
        <v>35</v>
      </c>
      <c r="B3350">
        <v>3349</v>
      </c>
      <c r="C3350" t="s">
        <v>694</v>
      </c>
      <c r="D3350" t="s">
        <v>42</v>
      </c>
      <c r="E3350">
        <v>2018</v>
      </c>
      <c r="F3350" t="s">
        <v>138</v>
      </c>
      <c r="G3350" t="s">
        <v>14</v>
      </c>
      <c r="H3350" t="s">
        <v>26</v>
      </c>
      <c r="I3350" t="s">
        <v>40</v>
      </c>
      <c r="J3350">
        <v>2.4992442E-2</v>
      </c>
      <c r="K3350"/>
      <c r="L3350" s="1">
        <v>53.6614</v>
      </c>
      <c r="M3350">
        <v>4</v>
      </c>
    </row>
    <row r="3351" spans="1:13" x14ac:dyDescent="0.3">
      <c r="A3351" t="s">
        <v>35</v>
      </c>
      <c r="B3351">
        <v>3350</v>
      </c>
      <c r="C3351" t="s">
        <v>953</v>
      </c>
      <c r="D3351" t="s">
        <v>48</v>
      </c>
      <c r="E3351">
        <v>2018</v>
      </c>
      <c r="F3351" t="s">
        <v>138</v>
      </c>
      <c r="G3351" t="s">
        <v>14</v>
      </c>
      <c r="H3351" t="s">
        <v>26</v>
      </c>
      <c r="I3351" t="s">
        <v>40</v>
      </c>
      <c r="J3351">
        <v>7.8872251000000004E-2</v>
      </c>
      <c r="K3351"/>
      <c r="L3351" s="1">
        <v>189.5556</v>
      </c>
      <c r="M3351">
        <v>4</v>
      </c>
    </row>
    <row r="3352" spans="1:13" x14ac:dyDescent="0.3">
      <c r="A3352" t="s">
        <v>10</v>
      </c>
      <c r="B3352">
        <v>3351</v>
      </c>
      <c r="C3352" t="s">
        <v>265</v>
      </c>
      <c r="D3352" t="s">
        <v>95</v>
      </c>
      <c r="E3352">
        <v>2018</v>
      </c>
      <c r="F3352" t="s">
        <v>138</v>
      </c>
      <c r="G3352" t="s">
        <v>14</v>
      </c>
      <c r="H3352" t="s">
        <v>26</v>
      </c>
      <c r="I3352" t="s">
        <v>40</v>
      </c>
      <c r="J3352">
        <v>6.6336810999999996E-2</v>
      </c>
      <c r="K3352"/>
      <c r="L3352" s="1">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s="1">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s="1">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s="1">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s="1">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s="1">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s="1">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s="1">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s="1">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s="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s="1">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s="1">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s="1">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s="1">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s="1">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s="1">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s="1">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s="1">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s="1">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s="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s="1">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s="1">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s="1">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s="1">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s="1">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s="1">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s="1">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s="1">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s="1">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s="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s="1">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s="1">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s="1">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s="1">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s="1">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s="1">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s="1">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s="1">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s="1">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s="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s="1">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s="1">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s="1">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s="1">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s="1">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s="1">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s="1">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s="1">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s="1">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s="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s="1">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s="1">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s="1">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s="1">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s="1">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s="1">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s="1">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s="1">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s="1">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s="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s="1">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s="1">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s="1">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s="1">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s="1">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s="1">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s="1">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s="1">
        <v>46.006</v>
      </c>
      <c r="M3419">
        <v>4</v>
      </c>
    </row>
    <row r="3420" spans="1:13" x14ac:dyDescent="0.3">
      <c r="A3420" t="s">
        <v>17</v>
      </c>
      <c r="B3420">
        <v>3419</v>
      </c>
      <c r="C3420" t="s">
        <v>1165</v>
      </c>
      <c r="D3420" t="s">
        <v>48</v>
      </c>
      <c r="E3420">
        <v>2015</v>
      </c>
      <c r="F3420" t="s">
        <v>33</v>
      </c>
      <c r="G3420" t="s">
        <v>34</v>
      </c>
      <c r="H3420" t="s">
        <v>15</v>
      </c>
      <c r="I3420" t="s">
        <v>16</v>
      </c>
      <c r="J3420">
        <v>0</v>
      </c>
      <c r="K3420">
        <v>14.15</v>
      </c>
      <c r="L3420" s="1">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s="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s="1">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s="1">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s="1">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s="1">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s="1">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s="1">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s="1">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s="1">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s="1">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s="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s="1">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s="1">
        <v>187.5872</v>
      </c>
      <c r="M3433">
        <v>4</v>
      </c>
    </row>
    <row r="3434" spans="1:13" x14ac:dyDescent="0.3">
      <c r="A3434" t="s">
        <v>17</v>
      </c>
      <c r="B3434">
        <v>3433</v>
      </c>
      <c r="C3434" t="s">
        <v>60</v>
      </c>
      <c r="D3434" t="s">
        <v>61</v>
      </c>
      <c r="E3434">
        <v>2015</v>
      </c>
      <c r="F3434" t="s">
        <v>33</v>
      </c>
      <c r="G3434" t="s">
        <v>34</v>
      </c>
      <c r="H3434" t="s">
        <v>26</v>
      </c>
      <c r="I3434" t="s">
        <v>16</v>
      </c>
      <c r="J3434">
        <v>0</v>
      </c>
      <c r="K3434">
        <v>12.1</v>
      </c>
      <c r="L3434" s="1">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s="1">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s="1">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s="1">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s="1">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s="1">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s="1">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s="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s="1">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s="1">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s="1">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s="1">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s="1">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s="1">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s="1">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s="1">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s="1">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s="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s="1">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s="1">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s="1">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s="1">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s="1">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s="1">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s="1">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s="1">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s="1">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s="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s="1">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s="1">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s="1">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s="1">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s="1">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s="1">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s="1">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s="1">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s="1">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s="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s="1">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s="1">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s="1">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s="1">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s="1">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s="1">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s="1">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s="1">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s="1">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s="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s="1">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s="1">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s="1">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s="1">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s="1">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s="1">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s="1">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s="1">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s="1">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s="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s="1">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s="1">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s="1">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s="1">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s="1">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s="1">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s="1">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s="1">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s="1">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s="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s="1">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s="1">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s="1">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s="1">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s="1">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s="1">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s="1">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s="1">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s="1">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s="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s="1">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s="1">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s="1">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s="1">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s="1">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s="1">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s="1">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s="1">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s="1">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s="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s="1">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s="1">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s="1">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s="1">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s="1">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s="1">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s="1">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s="1">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s="1">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s="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s="1">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s="1">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s="1">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s="1">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s="1">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s="1">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s="1">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s="1">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s="1">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s="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s="1">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s="1">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s="1">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s="1">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s="1">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s="1">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s="1">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s="1">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s="1">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s="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s="1">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s="1">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s="1">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s="1">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s="1">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s="1">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s="1">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s="1">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s="1">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s="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s="1">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s="1">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s="1">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s="1">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s="1">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s="1">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s="1">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s="1">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s="1">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s="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s="1">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s="1">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s="1">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s="1">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s="1">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s="1">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s="1">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s="1">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s="1">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s="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s="1">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s="1">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s="1">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s="1">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s="1">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s="1">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s="1">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s="1">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s="1">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s="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s="1">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s="1">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s="1">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s="1">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s="1">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s="1">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s="1">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s="1">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s="1">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s="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s="1">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s="1">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s="1">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s="1">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s="1">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s="1">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s="1">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s="1">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s="1">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s="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s="1">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s="1">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s="1">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s="1">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s="1">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s="1">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s="1">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s="1">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s="1">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s="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s="1">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s="1">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s="1">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s="1">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s="1">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s="1">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s="1">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s="1">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s="1">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s="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s="1">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s="1">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s="1">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s="1">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s="1">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s="1">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s="1">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s="1">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s="1">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s="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s="1">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s="1">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s="1">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s="1">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s="1">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s="1">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s="1">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s="1">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s="1">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s="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s="1">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s="1">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s="1">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s="1">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s="1">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s="1">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s="1">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s="1">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s="1">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s="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s="1">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s="1">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s="1">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s="1">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s="1">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s="1">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s="1">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s="1">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s="1">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s="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s="1">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s="1">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s="1">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s="1">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s="1">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s="1">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s="1">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s="1">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s="1">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s="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s="1">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s="1">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s="1">
        <v>231.33</v>
      </c>
      <c r="M3684">
        <v>4</v>
      </c>
    </row>
    <row r="3685" spans="1:13" x14ac:dyDescent="0.3">
      <c r="A3685" t="s">
        <v>10</v>
      </c>
      <c r="B3685">
        <v>3684</v>
      </c>
      <c r="C3685" t="s">
        <v>186</v>
      </c>
      <c r="D3685" t="s">
        <v>28</v>
      </c>
      <c r="E3685">
        <v>2014</v>
      </c>
      <c r="F3685" t="s">
        <v>29</v>
      </c>
      <c r="G3685" t="s">
        <v>21</v>
      </c>
      <c r="H3685" t="s">
        <v>30</v>
      </c>
      <c r="I3685" t="s">
        <v>16</v>
      </c>
      <c r="J3685">
        <v>0</v>
      </c>
      <c r="K3685">
        <v>8.1</v>
      </c>
      <c r="L3685" s="1">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s="1">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s="1">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s="1">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s="1">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s="1">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s="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s="1">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s="1">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s="1">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s="1">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s="1">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s="1">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s="1">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s="1">
        <v>111.6544</v>
      </c>
      <c r="M3699">
        <v>4</v>
      </c>
    </row>
    <row r="3700" spans="1:13" x14ac:dyDescent="0.3">
      <c r="A3700" t="s">
        <v>10</v>
      </c>
      <c r="B3700">
        <v>3699</v>
      </c>
      <c r="C3700" t="s">
        <v>761</v>
      </c>
      <c r="D3700" t="s">
        <v>32</v>
      </c>
      <c r="E3700">
        <v>2014</v>
      </c>
      <c r="F3700" t="s">
        <v>29</v>
      </c>
      <c r="G3700" t="s">
        <v>21</v>
      </c>
      <c r="H3700" t="s">
        <v>30</v>
      </c>
      <c r="I3700" t="s">
        <v>16</v>
      </c>
      <c r="J3700">
        <v>0</v>
      </c>
      <c r="K3700">
        <v>13</v>
      </c>
      <c r="L3700" s="1">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s="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s="1">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s="1">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s="1">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s="1">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s="1">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s="1">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s="1">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s="1">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s="1">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s="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s="1">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s="1">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s="1">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s="1">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s="1">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s="1">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s="1">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s="1">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s="1">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s="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s="1">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s="1">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s="1">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s="1">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s="1">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s="1">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s="1">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s="1">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s="1">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s="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s="1">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s="1">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s="1">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s="1">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s="1">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s="1">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s="1">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s="1">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s="1">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s="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s="1">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s="1">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s="1">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s="1">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s="1">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s="1">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s="1">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s="1">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s="1">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s="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s="1">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s="1">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s="1">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s="1">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s="1">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s="1">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s="1">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s="1">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s="1">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s="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s="1">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s="1">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s="1">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s="1">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K3766"/>
      <c r="L3766" s="1">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K3767"/>
      <c r="L3767" s="1">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K3768"/>
      <c r="L3768" s="1">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K3769"/>
      <c r="L3769" s="1">
        <v>158.96039999999999</v>
      </c>
      <c r="M3769">
        <v>4</v>
      </c>
    </row>
    <row r="3770" spans="1:13" x14ac:dyDescent="0.3">
      <c r="A3770" t="s">
        <v>17</v>
      </c>
      <c r="B3770">
        <v>3769</v>
      </c>
      <c r="C3770" t="s">
        <v>841</v>
      </c>
      <c r="D3770" t="s">
        <v>95</v>
      </c>
      <c r="E3770">
        <v>2018</v>
      </c>
      <c r="F3770" t="s">
        <v>45</v>
      </c>
      <c r="G3770" t="s">
        <v>21</v>
      </c>
      <c r="H3770" t="s">
        <v>15</v>
      </c>
      <c r="I3770" t="s">
        <v>46</v>
      </c>
      <c r="J3770">
        <v>0.110735739</v>
      </c>
      <c r="K3770"/>
      <c r="L3770" s="1">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K3771"/>
      <c r="L3771" s="1">
        <v>127.102</v>
      </c>
      <c r="M3771">
        <v>4</v>
      </c>
    </row>
    <row r="3772" spans="1:13" x14ac:dyDescent="0.3">
      <c r="A3772" t="s">
        <v>17</v>
      </c>
      <c r="B3772">
        <v>3771</v>
      </c>
      <c r="C3772" t="s">
        <v>1300</v>
      </c>
      <c r="D3772" t="s">
        <v>57</v>
      </c>
      <c r="E3772">
        <v>2018</v>
      </c>
      <c r="F3772" t="s">
        <v>45</v>
      </c>
      <c r="G3772" t="s">
        <v>21</v>
      </c>
      <c r="H3772" t="s">
        <v>15</v>
      </c>
      <c r="I3772" t="s">
        <v>46</v>
      </c>
      <c r="J3772">
        <v>3.5414528000000001E-2</v>
      </c>
      <c r="K3772"/>
      <c r="L3772" s="1">
        <v>218.2166</v>
      </c>
      <c r="M3772">
        <v>4</v>
      </c>
    </row>
    <row r="3773" spans="1:13" x14ac:dyDescent="0.3">
      <c r="A3773" t="s">
        <v>17</v>
      </c>
      <c r="B3773">
        <v>3772</v>
      </c>
      <c r="C3773" t="s">
        <v>287</v>
      </c>
      <c r="D3773" t="s">
        <v>57</v>
      </c>
      <c r="E3773">
        <v>2018</v>
      </c>
      <c r="F3773" t="s">
        <v>45</v>
      </c>
      <c r="G3773" t="s">
        <v>21</v>
      </c>
      <c r="H3773" t="s">
        <v>15</v>
      </c>
      <c r="I3773" t="s">
        <v>46</v>
      </c>
      <c r="J3773">
        <v>9.2145264000000005E-2</v>
      </c>
      <c r="K3773"/>
      <c r="L3773" s="1">
        <v>120.7098</v>
      </c>
      <c r="M3773">
        <v>4</v>
      </c>
    </row>
    <row r="3774" spans="1:13" x14ac:dyDescent="0.3">
      <c r="A3774" t="s">
        <v>17</v>
      </c>
      <c r="B3774">
        <v>3773</v>
      </c>
      <c r="C3774" t="s">
        <v>704</v>
      </c>
      <c r="D3774" t="s">
        <v>57</v>
      </c>
      <c r="E3774">
        <v>2018</v>
      </c>
      <c r="F3774" t="s">
        <v>45</v>
      </c>
      <c r="G3774" t="s">
        <v>21</v>
      </c>
      <c r="H3774" t="s">
        <v>15</v>
      </c>
      <c r="I3774" t="s">
        <v>46</v>
      </c>
      <c r="J3774">
        <v>7.8831762E-2</v>
      </c>
      <c r="K3774"/>
      <c r="L3774" s="1">
        <v>98.97</v>
      </c>
      <c r="M3774">
        <v>4</v>
      </c>
    </row>
    <row r="3775" spans="1:13" x14ac:dyDescent="0.3">
      <c r="A3775" t="s">
        <v>17</v>
      </c>
      <c r="B3775">
        <v>3774</v>
      </c>
      <c r="C3775" t="s">
        <v>548</v>
      </c>
      <c r="D3775" t="s">
        <v>57</v>
      </c>
      <c r="E3775">
        <v>2018</v>
      </c>
      <c r="F3775" t="s">
        <v>45</v>
      </c>
      <c r="G3775" t="s">
        <v>21</v>
      </c>
      <c r="H3775" t="s">
        <v>15</v>
      </c>
      <c r="I3775" t="s">
        <v>46</v>
      </c>
      <c r="J3775">
        <v>9.5919472000000006E-2</v>
      </c>
      <c r="K3775"/>
      <c r="L3775" s="1">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K3776"/>
      <c r="L3776" s="1">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K3777"/>
      <c r="L3777" s="1">
        <v>248.375</v>
      </c>
      <c r="M3777">
        <v>4</v>
      </c>
    </row>
    <row r="3778" spans="1:13" x14ac:dyDescent="0.3">
      <c r="A3778" t="s">
        <v>17</v>
      </c>
      <c r="B3778">
        <v>3777</v>
      </c>
      <c r="C3778" t="s">
        <v>70</v>
      </c>
      <c r="D3778" t="s">
        <v>24</v>
      </c>
      <c r="E3778">
        <v>2018</v>
      </c>
      <c r="F3778" t="s">
        <v>45</v>
      </c>
      <c r="G3778" t="s">
        <v>21</v>
      </c>
      <c r="H3778" t="s">
        <v>15</v>
      </c>
      <c r="I3778" t="s">
        <v>46</v>
      </c>
      <c r="J3778">
        <v>3.3777629000000003E-2</v>
      </c>
      <c r="K3778"/>
      <c r="L3778" s="1">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K3779"/>
      <c r="L3779" s="1">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K3780"/>
      <c r="L3780" s="1">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K3781"/>
      <c r="L3781" s="1">
        <v>47.1402</v>
      </c>
      <c r="M3781">
        <v>4</v>
      </c>
    </row>
    <row r="3782" spans="1:13" x14ac:dyDescent="0.3">
      <c r="A3782" t="s">
        <v>17</v>
      </c>
      <c r="B3782">
        <v>3781</v>
      </c>
      <c r="C3782" t="s">
        <v>847</v>
      </c>
      <c r="D3782" t="s">
        <v>12</v>
      </c>
      <c r="E3782">
        <v>2018</v>
      </c>
      <c r="F3782" t="s">
        <v>45</v>
      </c>
      <c r="G3782" t="s">
        <v>21</v>
      </c>
      <c r="H3782" t="s">
        <v>15</v>
      </c>
      <c r="I3782" t="s">
        <v>46</v>
      </c>
      <c r="J3782">
        <v>8.7223419999999992E-3</v>
      </c>
      <c r="K3782"/>
      <c r="L3782" s="1">
        <v>123.5414</v>
      </c>
      <c r="M3782">
        <v>4</v>
      </c>
    </row>
    <row r="3783" spans="1:13" x14ac:dyDescent="0.3">
      <c r="A3783" t="s">
        <v>17</v>
      </c>
      <c r="B3783">
        <v>3782</v>
      </c>
      <c r="C3783" t="s">
        <v>772</v>
      </c>
      <c r="D3783" t="s">
        <v>12</v>
      </c>
      <c r="E3783">
        <v>2018</v>
      </c>
      <c r="F3783" t="s">
        <v>45</v>
      </c>
      <c r="G3783" t="s">
        <v>21</v>
      </c>
      <c r="H3783" t="s">
        <v>15</v>
      </c>
      <c r="I3783" t="s">
        <v>46</v>
      </c>
      <c r="J3783">
        <v>0.10508595599999999</v>
      </c>
      <c r="K3783"/>
      <c r="L3783" s="1">
        <v>82.390799999999999</v>
      </c>
      <c r="M3783">
        <v>4</v>
      </c>
    </row>
    <row r="3784" spans="1:13" x14ac:dyDescent="0.3">
      <c r="A3784" t="s">
        <v>17</v>
      </c>
      <c r="B3784">
        <v>3783</v>
      </c>
      <c r="C3784" t="s">
        <v>169</v>
      </c>
      <c r="D3784" t="s">
        <v>12</v>
      </c>
      <c r="E3784">
        <v>2018</v>
      </c>
      <c r="F3784" t="s">
        <v>45</v>
      </c>
      <c r="G3784" t="s">
        <v>21</v>
      </c>
      <c r="H3784" t="s">
        <v>15</v>
      </c>
      <c r="I3784" t="s">
        <v>46</v>
      </c>
      <c r="J3784">
        <v>0</v>
      </c>
      <c r="K3784"/>
      <c r="L3784" s="1">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K3785"/>
      <c r="L3785" s="1">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K3786"/>
      <c r="L3786" s="1">
        <v>123.0414</v>
      </c>
      <c r="M3786">
        <v>4</v>
      </c>
    </row>
    <row r="3787" spans="1:13" x14ac:dyDescent="0.3">
      <c r="A3787" t="s">
        <v>17</v>
      </c>
      <c r="B3787">
        <v>3786</v>
      </c>
      <c r="C3787" t="s">
        <v>218</v>
      </c>
      <c r="D3787" t="s">
        <v>42</v>
      </c>
      <c r="E3787">
        <v>2018</v>
      </c>
      <c r="F3787" t="s">
        <v>45</v>
      </c>
      <c r="G3787" t="s">
        <v>21</v>
      </c>
      <c r="H3787" t="s">
        <v>15</v>
      </c>
      <c r="I3787" t="s">
        <v>46</v>
      </c>
      <c r="J3787">
        <v>1.4232071000000001E-2</v>
      </c>
      <c r="K3787"/>
      <c r="L3787" s="1">
        <v>100.9332</v>
      </c>
      <c r="M3787">
        <v>4</v>
      </c>
    </row>
    <row r="3788" spans="1:13" x14ac:dyDescent="0.3">
      <c r="A3788" t="s">
        <v>17</v>
      </c>
      <c r="B3788">
        <v>3787</v>
      </c>
      <c r="C3788" t="s">
        <v>91</v>
      </c>
      <c r="D3788" t="s">
        <v>42</v>
      </c>
      <c r="E3788">
        <v>2018</v>
      </c>
      <c r="F3788" t="s">
        <v>45</v>
      </c>
      <c r="G3788" t="s">
        <v>21</v>
      </c>
      <c r="H3788" t="s">
        <v>15</v>
      </c>
      <c r="I3788" t="s">
        <v>46</v>
      </c>
      <c r="J3788">
        <v>4.8703431999999998E-2</v>
      </c>
      <c r="K3788"/>
      <c r="L3788" s="1">
        <v>125.9336</v>
      </c>
      <c r="M3788">
        <v>4</v>
      </c>
    </row>
    <row r="3789" spans="1:13" x14ac:dyDescent="0.3">
      <c r="A3789" t="s">
        <v>17</v>
      </c>
      <c r="B3789">
        <v>3788</v>
      </c>
      <c r="C3789" t="s">
        <v>173</v>
      </c>
      <c r="D3789" t="s">
        <v>42</v>
      </c>
      <c r="E3789">
        <v>2018</v>
      </c>
      <c r="F3789" t="s">
        <v>45</v>
      </c>
      <c r="G3789" t="s">
        <v>21</v>
      </c>
      <c r="H3789" t="s">
        <v>15</v>
      </c>
      <c r="I3789" t="s">
        <v>46</v>
      </c>
      <c r="J3789">
        <v>0.107507291</v>
      </c>
      <c r="K3789"/>
      <c r="L3789" s="1">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K3790"/>
      <c r="L3790" s="1">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K3791"/>
      <c r="L3791" s="1">
        <v>184.66079999999999</v>
      </c>
      <c r="M3791">
        <v>4</v>
      </c>
    </row>
    <row r="3792" spans="1:13" x14ac:dyDescent="0.3">
      <c r="A3792" t="s">
        <v>17</v>
      </c>
      <c r="B3792">
        <v>3791</v>
      </c>
      <c r="C3792" t="s">
        <v>1497</v>
      </c>
      <c r="D3792" t="s">
        <v>153</v>
      </c>
      <c r="E3792">
        <v>2018</v>
      </c>
      <c r="F3792" t="s">
        <v>45</v>
      </c>
      <c r="G3792" t="s">
        <v>21</v>
      </c>
      <c r="H3792" t="s">
        <v>15</v>
      </c>
      <c r="I3792" t="s">
        <v>46</v>
      </c>
      <c r="J3792">
        <v>3.1073804E-2</v>
      </c>
      <c r="K3792"/>
      <c r="L3792" s="1">
        <v>157.56039999999999</v>
      </c>
      <c r="M3792">
        <v>4</v>
      </c>
    </row>
    <row r="3793" spans="1:13" x14ac:dyDescent="0.3">
      <c r="A3793" t="s">
        <v>17</v>
      </c>
      <c r="B3793">
        <v>3792</v>
      </c>
      <c r="C3793" t="s">
        <v>932</v>
      </c>
      <c r="D3793" t="s">
        <v>48</v>
      </c>
      <c r="E3793">
        <v>2018</v>
      </c>
      <c r="F3793" t="s">
        <v>45</v>
      </c>
      <c r="G3793" t="s">
        <v>21</v>
      </c>
      <c r="H3793" t="s">
        <v>15</v>
      </c>
      <c r="I3793" t="s">
        <v>46</v>
      </c>
      <c r="J3793">
        <v>0</v>
      </c>
      <c r="K3793"/>
      <c r="L3793" s="1">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K3794"/>
      <c r="L3794" s="1">
        <v>132.96260000000001</v>
      </c>
      <c r="M3794">
        <v>4</v>
      </c>
    </row>
    <row r="3795" spans="1:13" x14ac:dyDescent="0.3">
      <c r="A3795" t="s">
        <v>17</v>
      </c>
      <c r="B3795">
        <v>3794</v>
      </c>
      <c r="C3795" t="s">
        <v>625</v>
      </c>
      <c r="D3795" t="s">
        <v>48</v>
      </c>
      <c r="E3795">
        <v>2018</v>
      </c>
      <c r="F3795" t="s">
        <v>45</v>
      </c>
      <c r="G3795" t="s">
        <v>21</v>
      </c>
      <c r="H3795" t="s">
        <v>15</v>
      </c>
      <c r="I3795" t="s">
        <v>46</v>
      </c>
      <c r="J3795">
        <v>2.9793955E-2</v>
      </c>
      <c r="K3795"/>
      <c r="L3795" s="1">
        <v>167.2816</v>
      </c>
      <c r="M3795">
        <v>4</v>
      </c>
    </row>
    <row r="3796" spans="1:13" x14ac:dyDescent="0.3">
      <c r="A3796" t="s">
        <v>17</v>
      </c>
      <c r="B3796">
        <v>3795</v>
      </c>
      <c r="C3796" t="s">
        <v>916</v>
      </c>
      <c r="D3796" t="s">
        <v>48</v>
      </c>
      <c r="E3796">
        <v>2018</v>
      </c>
      <c r="F3796" t="s">
        <v>45</v>
      </c>
      <c r="G3796" t="s">
        <v>21</v>
      </c>
      <c r="H3796" t="s">
        <v>15</v>
      </c>
      <c r="I3796" t="s">
        <v>46</v>
      </c>
      <c r="J3796">
        <v>0</v>
      </c>
      <c r="K3796"/>
      <c r="L3796" s="1">
        <v>248.8092</v>
      </c>
      <c r="M3796">
        <v>4</v>
      </c>
    </row>
    <row r="3797" spans="1:13" x14ac:dyDescent="0.3">
      <c r="A3797" t="s">
        <v>17</v>
      </c>
      <c r="B3797">
        <v>3796</v>
      </c>
      <c r="C3797" t="s">
        <v>984</v>
      </c>
      <c r="D3797" t="s">
        <v>32</v>
      </c>
      <c r="E3797">
        <v>2018</v>
      </c>
      <c r="F3797" t="s">
        <v>45</v>
      </c>
      <c r="G3797" t="s">
        <v>21</v>
      </c>
      <c r="H3797" t="s">
        <v>15</v>
      </c>
      <c r="I3797" t="s">
        <v>46</v>
      </c>
      <c r="J3797">
        <v>0.112349962</v>
      </c>
      <c r="K3797"/>
      <c r="L3797" s="1">
        <v>39.184800000000003</v>
      </c>
      <c r="M3797">
        <v>4</v>
      </c>
    </row>
    <row r="3798" spans="1:13" x14ac:dyDescent="0.3">
      <c r="A3798" t="s">
        <v>17</v>
      </c>
      <c r="B3798">
        <v>3797</v>
      </c>
      <c r="C3798" t="s">
        <v>1267</v>
      </c>
      <c r="D3798" t="s">
        <v>32</v>
      </c>
      <c r="E3798">
        <v>2018</v>
      </c>
      <c r="F3798" t="s">
        <v>45</v>
      </c>
      <c r="G3798" t="s">
        <v>21</v>
      </c>
      <c r="H3798" t="s">
        <v>15</v>
      </c>
      <c r="I3798" t="s">
        <v>46</v>
      </c>
      <c r="J3798">
        <v>0</v>
      </c>
      <c r="K3798"/>
      <c r="L3798" s="1">
        <v>121.044</v>
      </c>
      <c r="M3798">
        <v>4</v>
      </c>
    </row>
    <row r="3799" spans="1:13" x14ac:dyDescent="0.3">
      <c r="A3799" t="s">
        <v>10</v>
      </c>
      <c r="B3799">
        <v>3798</v>
      </c>
      <c r="C3799" t="s">
        <v>1398</v>
      </c>
      <c r="D3799" t="s">
        <v>95</v>
      </c>
      <c r="E3799">
        <v>2018</v>
      </c>
      <c r="F3799" t="s">
        <v>45</v>
      </c>
      <c r="G3799" t="s">
        <v>21</v>
      </c>
      <c r="H3799" t="s">
        <v>15</v>
      </c>
      <c r="I3799" t="s">
        <v>46</v>
      </c>
      <c r="J3799">
        <v>3.4244601E-2</v>
      </c>
      <c r="K3799"/>
      <c r="L3799" s="1">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K3800"/>
      <c r="L3800" s="1">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K3801"/>
      <c r="L3801" s="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K3802"/>
      <c r="L3802" s="1">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K3803"/>
      <c r="L3803" s="1">
        <v>173.7422</v>
      </c>
      <c r="M3803">
        <v>4</v>
      </c>
    </row>
    <row r="3804" spans="1:13" x14ac:dyDescent="0.3">
      <c r="A3804" t="s">
        <v>10</v>
      </c>
      <c r="B3804">
        <v>3803</v>
      </c>
      <c r="C3804" t="s">
        <v>978</v>
      </c>
      <c r="D3804" t="s">
        <v>67</v>
      </c>
      <c r="E3804">
        <v>2018</v>
      </c>
      <c r="F3804" t="s">
        <v>45</v>
      </c>
      <c r="G3804" t="s">
        <v>21</v>
      </c>
      <c r="H3804" t="s">
        <v>15</v>
      </c>
      <c r="I3804" t="s">
        <v>46</v>
      </c>
      <c r="J3804">
        <v>2.2403117E-2</v>
      </c>
      <c r="K3804"/>
      <c r="L3804" s="1">
        <v>250.9092</v>
      </c>
      <c r="M3804">
        <v>4</v>
      </c>
    </row>
    <row r="3805" spans="1:13" x14ac:dyDescent="0.3">
      <c r="A3805" t="s">
        <v>10</v>
      </c>
      <c r="B3805">
        <v>3804</v>
      </c>
      <c r="C3805" t="s">
        <v>698</v>
      </c>
      <c r="D3805" t="s">
        <v>67</v>
      </c>
      <c r="E3805">
        <v>2018</v>
      </c>
      <c r="F3805" t="s">
        <v>45</v>
      </c>
      <c r="G3805" t="s">
        <v>21</v>
      </c>
      <c r="H3805" t="s">
        <v>15</v>
      </c>
      <c r="I3805" t="s">
        <v>46</v>
      </c>
      <c r="J3805">
        <v>7.4806196000000005E-2</v>
      </c>
      <c r="K3805"/>
      <c r="L3805" s="1">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K3806"/>
      <c r="L3806" s="1">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K3807"/>
      <c r="L3807" s="1">
        <v>258.7278</v>
      </c>
      <c r="M3807">
        <v>4</v>
      </c>
    </row>
    <row r="3808" spans="1:13" x14ac:dyDescent="0.3">
      <c r="A3808" t="s">
        <v>10</v>
      </c>
      <c r="B3808">
        <v>3807</v>
      </c>
      <c r="C3808" t="s">
        <v>529</v>
      </c>
      <c r="D3808" t="s">
        <v>24</v>
      </c>
      <c r="E3808">
        <v>2018</v>
      </c>
      <c r="F3808" t="s">
        <v>45</v>
      </c>
      <c r="G3808" t="s">
        <v>21</v>
      </c>
      <c r="H3808" t="s">
        <v>15</v>
      </c>
      <c r="I3808" t="s">
        <v>46</v>
      </c>
      <c r="J3808">
        <v>0.14928877900000001</v>
      </c>
      <c r="K3808"/>
      <c r="L3808" s="1">
        <v>158.4288</v>
      </c>
      <c r="M3808">
        <v>4</v>
      </c>
    </row>
    <row r="3809" spans="1:13" x14ac:dyDescent="0.3">
      <c r="A3809" t="s">
        <v>10</v>
      </c>
      <c r="B3809">
        <v>3808</v>
      </c>
      <c r="C3809" t="s">
        <v>922</v>
      </c>
      <c r="D3809" t="s">
        <v>24</v>
      </c>
      <c r="E3809">
        <v>2018</v>
      </c>
      <c r="F3809" t="s">
        <v>45</v>
      </c>
      <c r="G3809" t="s">
        <v>21</v>
      </c>
      <c r="H3809" t="s">
        <v>15</v>
      </c>
      <c r="I3809" t="s">
        <v>46</v>
      </c>
      <c r="J3809">
        <v>9.1780141999999995E-2</v>
      </c>
      <c r="K3809"/>
      <c r="L3809" s="1">
        <v>182.5266</v>
      </c>
      <c r="M3809">
        <v>4</v>
      </c>
    </row>
    <row r="3810" spans="1:13" x14ac:dyDescent="0.3">
      <c r="A3810" t="s">
        <v>10</v>
      </c>
      <c r="B3810">
        <v>3809</v>
      </c>
      <c r="C3810" t="s">
        <v>55</v>
      </c>
      <c r="D3810" t="s">
        <v>12</v>
      </c>
      <c r="E3810">
        <v>2018</v>
      </c>
      <c r="F3810" t="s">
        <v>45</v>
      </c>
      <c r="G3810" t="s">
        <v>21</v>
      </c>
      <c r="H3810" t="s">
        <v>15</v>
      </c>
      <c r="I3810" t="s">
        <v>46</v>
      </c>
      <c r="J3810">
        <v>1.8714040000000001E-2</v>
      </c>
      <c r="K3810"/>
      <c r="L3810" s="1">
        <v>223.47720000000001</v>
      </c>
      <c r="M3810">
        <v>4</v>
      </c>
    </row>
    <row r="3811" spans="1:13" x14ac:dyDescent="0.3">
      <c r="A3811" t="s">
        <v>10</v>
      </c>
      <c r="B3811">
        <v>3810</v>
      </c>
      <c r="C3811" t="s">
        <v>1055</v>
      </c>
      <c r="D3811" t="s">
        <v>12</v>
      </c>
      <c r="E3811">
        <v>2018</v>
      </c>
      <c r="F3811" t="s">
        <v>45</v>
      </c>
      <c r="G3811" t="s">
        <v>21</v>
      </c>
      <c r="H3811" t="s">
        <v>15</v>
      </c>
      <c r="I3811" t="s">
        <v>46</v>
      </c>
      <c r="J3811">
        <v>0.102949031</v>
      </c>
      <c r="K3811"/>
      <c r="L3811" s="1">
        <v>225.27199999999999</v>
      </c>
      <c r="M3811">
        <v>4</v>
      </c>
    </row>
    <row r="3812" spans="1:13" x14ac:dyDescent="0.3">
      <c r="A3812" t="s">
        <v>10</v>
      </c>
      <c r="B3812">
        <v>3811</v>
      </c>
      <c r="C3812" t="s">
        <v>1426</v>
      </c>
      <c r="D3812" t="s">
        <v>12</v>
      </c>
      <c r="E3812">
        <v>2018</v>
      </c>
      <c r="F3812" t="s">
        <v>45</v>
      </c>
      <c r="G3812" t="s">
        <v>21</v>
      </c>
      <c r="H3812" t="s">
        <v>15</v>
      </c>
      <c r="I3812" t="s">
        <v>46</v>
      </c>
      <c r="J3812">
        <v>0.121712459</v>
      </c>
      <c r="K3812"/>
      <c r="L3812" s="1">
        <v>101.2016</v>
      </c>
      <c r="M3812">
        <v>4</v>
      </c>
    </row>
    <row r="3813" spans="1:13" x14ac:dyDescent="0.3">
      <c r="A3813" t="s">
        <v>10</v>
      </c>
      <c r="B3813">
        <v>3812</v>
      </c>
      <c r="C3813" t="s">
        <v>1180</v>
      </c>
      <c r="D3813" t="s">
        <v>12</v>
      </c>
      <c r="E3813">
        <v>2018</v>
      </c>
      <c r="F3813" t="s">
        <v>45</v>
      </c>
      <c r="G3813" t="s">
        <v>21</v>
      </c>
      <c r="H3813" t="s">
        <v>15</v>
      </c>
      <c r="I3813" t="s">
        <v>46</v>
      </c>
      <c r="J3813">
        <v>8.7936752000000007E-2</v>
      </c>
      <c r="K3813"/>
      <c r="L3813" s="1">
        <v>115.9466</v>
      </c>
      <c r="M3813">
        <v>4</v>
      </c>
    </row>
    <row r="3814" spans="1:13" x14ac:dyDescent="0.3">
      <c r="A3814" t="s">
        <v>10</v>
      </c>
      <c r="B3814">
        <v>3813</v>
      </c>
      <c r="C3814" t="s">
        <v>256</v>
      </c>
      <c r="D3814" t="s">
        <v>12</v>
      </c>
      <c r="E3814">
        <v>2018</v>
      </c>
      <c r="F3814" t="s">
        <v>45</v>
      </c>
      <c r="G3814" t="s">
        <v>21</v>
      </c>
      <c r="H3814" t="s">
        <v>15</v>
      </c>
      <c r="I3814" t="s">
        <v>46</v>
      </c>
      <c r="J3814">
        <v>1.4295564E-2</v>
      </c>
      <c r="K3814"/>
      <c r="L3814" s="1">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K3815"/>
      <c r="L3815" s="1">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K3816"/>
      <c r="L3816" s="1">
        <v>247.00919999999999</v>
      </c>
      <c r="M3816">
        <v>4</v>
      </c>
    </row>
    <row r="3817" spans="1:13" x14ac:dyDescent="0.3">
      <c r="A3817" t="s">
        <v>10</v>
      </c>
      <c r="B3817">
        <v>3816</v>
      </c>
      <c r="C3817" t="s">
        <v>1012</v>
      </c>
      <c r="D3817" t="s">
        <v>12</v>
      </c>
      <c r="E3817">
        <v>2018</v>
      </c>
      <c r="F3817" t="s">
        <v>45</v>
      </c>
      <c r="G3817" t="s">
        <v>21</v>
      </c>
      <c r="H3817" t="s">
        <v>15</v>
      </c>
      <c r="I3817" t="s">
        <v>46</v>
      </c>
      <c r="J3817">
        <v>0.112668963</v>
      </c>
      <c r="K3817"/>
      <c r="L3817" s="1">
        <v>191.0504</v>
      </c>
      <c r="M3817">
        <v>4</v>
      </c>
    </row>
    <row r="3818" spans="1:13" x14ac:dyDescent="0.3">
      <c r="A3818" t="s">
        <v>10</v>
      </c>
      <c r="B3818">
        <v>3817</v>
      </c>
      <c r="C3818" t="s">
        <v>885</v>
      </c>
      <c r="D3818" t="s">
        <v>54</v>
      </c>
      <c r="E3818">
        <v>2018</v>
      </c>
      <c r="F3818" t="s">
        <v>45</v>
      </c>
      <c r="G3818" t="s">
        <v>21</v>
      </c>
      <c r="H3818" t="s">
        <v>15</v>
      </c>
      <c r="I3818" t="s">
        <v>46</v>
      </c>
      <c r="J3818">
        <v>2.0312314000000001E-2</v>
      </c>
      <c r="K3818"/>
      <c r="L3818" s="1">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K3819"/>
      <c r="L3819" s="1">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K3820"/>
      <c r="L3820" s="1">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K3821"/>
      <c r="L3821" s="1">
        <v>96.609399999999994</v>
      </c>
      <c r="M3821">
        <v>4</v>
      </c>
    </row>
    <row r="3822" spans="1:13" x14ac:dyDescent="0.3">
      <c r="A3822" t="s">
        <v>10</v>
      </c>
      <c r="B3822">
        <v>3821</v>
      </c>
      <c r="C3822" t="s">
        <v>1030</v>
      </c>
      <c r="D3822" t="s">
        <v>48</v>
      </c>
      <c r="E3822">
        <v>2018</v>
      </c>
      <c r="F3822" t="s">
        <v>45</v>
      </c>
      <c r="G3822" t="s">
        <v>21</v>
      </c>
      <c r="H3822" t="s">
        <v>15</v>
      </c>
      <c r="I3822" t="s">
        <v>46</v>
      </c>
      <c r="J3822">
        <v>0.127416049</v>
      </c>
      <c r="K3822"/>
      <c r="L3822" s="1">
        <v>167.48159999999999</v>
      </c>
      <c r="M3822">
        <v>4</v>
      </c>
    </row>
    <row r="3823" spans="1:13" x14ac:dyDescent="0.3">
      <c r="A3823" t="s">
        <v>10</v>
      </c>
      <c r="B3823">
        <v>3822</v>
      </c>
      <c r="C3823" t="s">
        <v>262</v>
      </c>
      <c r="D3823" t="s">
        <v>48</v>
      </c>
      <c r="E3823">
        <v>2018</v>
      </c>
      <c r="F3823" t="s">
        <v>45</v>
      </c>
      <c r="G3823" t="s">
        <v>21</v>
      </c>
      <c r="H3823" t="s">
        <v>15</v>
      </c>
      <c r="I3823" t="s">
        <v>46</v>
      </c>
      <c r="J3823">
        <v>0.124668026</v>
      </c>
      <c r="K3823"/>
      <c r="L3823" s="1">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K3824"/>
      <c r="L3824" s="1">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K3825"/>
      <c r="L3825" s="1">
        <v>252.2724</v>
      </c>
      <c r="M3825">
        <v>4</v>
      </c>
    </row>
    <row r="3826" spans="1:13" x14ac:dyDescent="0.3">
      <c r="A3826" t="s">
        <v>10</v>
      </c>
      <c r="B3826">
        <v>3825</v>
      </c>
      <c r="C3826" t="s">
        <v>520</v>
      </c>
      <c r="D3826" t="s">
        <v>32</v>
      </c>
      <c r="E3826">
        <v>2018</v>
      </c>
      <c r="F3826" t="s">
        <v>45</v>
      </c>
      <c r="G3826" t="s">
        <v>21</v>
      </c>
      <c r="H3826" t="s">
        <v>15</v>
      </c>
      <c r="I3826" t="s">
        <v>46</v>
      </c>
      <c r="J3826">
        <v>0.127308434</v>
      </c>
      <c r="K3826"/>
      <c r="L3826" s="1">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K3827"/>
      <c r="L3827" s="1">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K3828"/>
      <c r="L3828" s="1">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s="1">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s="1">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K3831"/>
      <c r="L3831" s="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s="1">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K3833"/>
      <c r="L3833" s="1">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s="1">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s="1">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s="1">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s="1">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s="1">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s="1">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s="1">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s="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s="1">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s="1">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s="1">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s="1">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s="1">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K3847"/>
      <c r="L3847" s="1">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s="1">
        <v>47.903399999999998</v>
      </c>
      <c r="M3848">
        <v>3.9</v>
      </c>
    </row>
    <row r="3849" spans="1:13" x14ac:dyDescent="0.3">
      <c r="A3849" t="s">
        <v>10</v>
      </c>
      <c r="B3849">
        <v>3848</v>
      </c>
      <c r="C3849" t="s">
        <v>315</v>
      </c>
      <c r="D3849" t="s">
        <v>12</v>
      </c>
      <c r="E3849">
        <v>2018</v>
      </c>
      <c r="F3849" t="s">
        <v>138</v>
      </c>
      <c r="G3849" t="s">
        <v>14</v>
      </c>
      <c r="H3849" t="s">
        <v>26</v>
      </c>
      <c r="I3849" t="s">
        <v>40</v>
      </c>
      <c r="J3849">
        <v>0.104704537</v>
      </c>
      <c r="K3849"/>
      <c r="L3849" s="1">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s="1">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s="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s="1">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s="1">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s="1">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s="1">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s="1">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s="1">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s="1">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s="1">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s="1">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s="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s="1">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s="1">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s="1">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s="1">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s="1">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s="1">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s="1">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s="1">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s="1">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s="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s="1">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s="1">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s="1">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s="1">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s="1">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s="1">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s="1">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s="1">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s="1">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s="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s="1">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s="1">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s="1">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s="1">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s="1">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s="1">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s="1">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s="1">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s="1">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s="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s="1">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s="1">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s="1">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K3895"/>
      <c r="L3895" s="1">
        <v>216.3192</v>
      </c>
      <c r="M3895">
        <v>3.9</v>
      </c>
    </row>
    <row r="3896" spans="1:13" x14ac:dyDescent="0.3">
      <c r="A3896" t="s">
        <v>17</v>
      </c>
      <c r="B3896">
        <v>3895</v>
      </c>
      <c r="C3896" t="s">
        <v>1292</v>
      </c>
      <c r="D3896" t="s">
        <v>32</v>
      </c>
      <c r="E3896">
        <v>2018</v>
      </c>
      <c r="F3896" t="s">
        <v>138</v>
      </c>
      <c r="G3896" t="s">
        <v>14</v>
      </c>
      <c r="H3896" t="s">
        <v>26</v>
      </c>
      <c r="I3896" t="s">
        <v>40</v>
      </c>
      <c r="J3896">
        <v>0.168780127</v>
      </c>
      <c r="K3896"/>
      <c r="L3896" s="1">
        <v>197.8768</v>
      </c>
      <c r="M3896">
        <v>3.9</v>
      </c>
    </row>
    <row r="3897" spans="1:13" x14ac:dyDescent="0.3">
      <c r="A3897" t="s">
        <v>17</v>
      </c>
      <c r="B3897">
        <v>3896</v>
      </c>
      <c r="C3897" t="s">
        <v>1389</v>
      </c>
      <c r="D3897" t="s">
        <v>95</v>
      </c>
      <c r="E3897">
        <v>2018</v>
      </c>
      <c r="F3897" t="s">
        <v>138</v>
      </c>
      <c r="G3897" t="s">
        <v>14</v>
      </c>
      <c r="H3897" t="s">
        <v>26</v>
      </c>
      <c r="I3897" t="s">
        <v>40</v>
      </c>
      <c r="J3897">
        <v>4.1556696999999997E-2</v>
      </c>
      <c r="K3897"/>
      <c r="L3897" s="1">
        <v>104.4332</v>
      </c>
      <c r="M3897">
        <v>3.9</v>
      </c>
    </row>
    <row r="3898" spans="1:13" x14ac:dyDescent="0.3">
      <c r="A3898" t="s">
        <v>17</v>
      </c>
      <c r="B3898">
        <v>3897</v>
      </c>
      <c r="C3898" t="s">
        <v>521</v>
      </c>
      <c r="D3898" t="s">
        <v>28</v>
      </c>
      <c r="E3898">
        <v>2018</v>
      </c>
      <c r="F3898" t="s">
        <v>138</v>
      </c>
      <c r="G3898" t="s">
        <v>14</v>
      </c>
      <c r="H3898" t="s">
        <v>26</v>
      </c>
      <c r="I3898" t="s">
        <v>40</v>
      </c>
      <c r="J3898">
        <v>6.1753510999999997E-2</v>
      </c>
      <c r="K3898"/>
      <c r="L3898" s="1">
        <v>253.3014</v>
      </c>
      <c r="M3898">
        <v>3.9</v>
      </c>
    </row>
    <row r="3899" spans="1:13" x14ac:dyDescent="0.3">
      <c r="A3899" t="s">
        <v>17</v>
      </c>
      <c r="B3899">
        <v>3898</v>
      </c>
      <c r="C3899" t="s">
        <v>665</v>
      </c>
      <c r="D3899" t="s">
        <v>24</v>
      </c>
      <c r="E3899">
        <v>2018</v>
      </c>
      <c r="F3899" t="s">
        <v>138</v>
      </c>
      <c r="G3899" t="s">
        <v>14</v>
      </c>
      <c r="H3899" t="s">
        <v>26</v>
      </c>
      <c r="I3899" t="s">
        <v>40</v>
      </c>
      <c r="J3899">
        <v>0.14566955600000001</v>
      </c>
      <c r="K3899"/>
      <c r="L3899" s="1">
        <v>247.27760000000001</v>
      </c>
      <c r="M3899">
        <v>3.9</v>
      </c>
    </row>
    <row r="3900" spans="1:13" x14ac:dyDescent="0.3">
      <c r="A3900" t="s">
        <v>17</v>
      </c>
      <c r="B3900">
        <v>3899</v>
      </c>
      <c r="C3900" t="s">
        <v>1524</v>
      </c>
      <c r="D3900" t="s">
        <v>12</v>
      </c>
      <c r="E3900">
        <v>2018</v>
      </c>
      <c r="F3900" t="s">
        <v>138</v>
      </c>
      <c r="G3900" t="s">
        <v>14</v>
      </c>
      <c r="H3900" t="s">
        <v>26</v>
      </c>
      <c r="I3900" t="s">
        <v>40</v>
      </c>
      <c r="J3900">
        <v>0</v>
      </c>
      <c r="K3900"/>
      <c r="L3900" s="1">
        <v>126.6994</v>
      </c>
      <c r="M3900">
        <v>3.9</v>
      </c>
    </row>
    <row r="3901" spans="1:13" x14ac:dyDescent="0.3">
      <c r="A3901" t="s">
        <v>17</v>
      </c>
      <c r="B3901">
        <v>3900</v>
      </c>
      <c r="C3901" t="s">
        <v>1238</v>
      </c>
      <c r="D3901" t="s">
        <v>12</v>
      </c>
      <c r="E3901">
        <v>2018</v>
      </c>
      <c r="F3901" t="s">
        <v>138</v>
      </c>
      <c r="G3901" t="s">
        <v>14</v>
      </c>
      <c r="H3901" t="s">
        <v>26</v>
      </c>
      <c r="I3901" t="s">
        <v>40</v>
      </c>
      <c r="J3901">
        <v>0.30530539699999998</v>
      </c>
      <c r="K3901"/>
      <c r="L3901" s="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K3902"/>
      <c r="L3902" s="1">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K3903"/>
      <c r="L3903" s="1">
        <v>36.3874</v>
      </c>
      <c r="M3903">
        <v>3.9</v>
      </c>
    </row>
    <row r="3904" spans="1:13" x14ac:dyDescent="0.3">
      <c r="A3904" t="s">
        <v>17</v>
      </c>
      <c r="B3904">
        <v>3903</v>
      </c>
      <c r="C3904" t="s">
        <v>591</v>
      </c>
      <c r="D3904" t="s">
        <v>19</v>
      </c>
      <c r="E3904">
        <v>2018</v>
      </c>
      <c r="F3904" t="s">
        <v>138</v>
      </c>
      <c r="G3904" t="s">
        <v>14</v>
      </c>
      <c r="H3904" t="s">
        <v>26</v>
      </c>
      <c r="I3904" t="s">
        <v>40</v>
      </c>
      <c r="J3904">
        <v>2.8382853E-2</v>
      </c>
      <c r="K3904"/>
      <c r="L3904" s="1">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K3905"/>
      <c r="L3905" s="1">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K3906"/>
      <c r="L3906" s="1">
        <v>142.77860000000001</v>
      </c>
      <c r="M3906">
        <v>3.9</v>
      </c>
    </row>
    <row r="3907" spans="1:13" x14ac:dyDescent="0.3">
      <c r="A3907" t="s">
        <v>17</v>
      </c>
      <c r="B3907">
        <v>3906</v>
      </c>
      <c r="C3907" t="s">
        <v>435</v>
      </c>
      <c r="D3907" t="s">
        <v>42</v>
      </c>
      <c r="E3907">
        <v>2018</v>
      </c>
      <c r="F3907" t="s">
        <v>138</v>
      </c>
      <c r="G3907" t="s">
        <v>14</v>
      </c>
      <c r="H3907" t="s">
        <v>26</v>
      </c>
      <c r="I3907" t="s">
        <v>40</v>
      </c>
      <c r="J3907">
        <v>2.8207784E-2</v>
      </c>
      <c r="K3907"/>
      <c r="L3907" s="1">
        <v>195.5478</v>
      </c>
      <c r="M3907">
        <v>3.9</v>
      </c>
    </row>
    <row r="3908" spans="1:13" x14ac:dyDescent="0.3">
      <c r="A3908" t="s">
        <v>17</v>
      </c>
      <c r="B3908">
        <v>3907</v>
      </c>
      <c r="C3908" t="s">
        <v>114</v>
      </c>
      <c r="D3908" t="s">
        <v>42</v>
      </c>
      <c r="E3908">
        <v>2018</v>
      </c>
      <c r="F3908" t="s">
        <v>138</v>
      </c>
      <c r="G3908" t="s">
        <v>14</v>
      </c>
      <c r="H3908" t="s">
        <v>26</v>
      </c>
      <c r="I3908" t="s">
        <v>40</v>
      </c>
      <c r="J3908">
        <v>0.19875618</v>
      </c>
      <c r="K3908"/>
      <c r="L3908" s="1">
        <v>250.7724</v>
      </c>
      <c r="M3908">
        <v>3.9</v>
      </c>
    </row>
    <row r="3909" spans="1:13" x14ac:dyDescent="0.3">
      <c r="A3909" t="s">
        <v>17</v>
      </c>
      <c r="B3909">
        <v>3908</v>
      </c>
      <c r="C3909" t="s">
        <v>1318</v>
      </c>
      <c r="D3909" t="s">
        <v>64</v>
      </c>
      <c r="E3909">
        <v>2018</v>
      </c>
      <c r="F3909" t="s">
        <v>138</v>
      </c>
      <c r="G3909" t="s">
        <v>14</v>
      </c>
      <c r="H3909" t="s">
        <v>26</v>
      </c>
      <c r="I3909" t="s">
        <v>40</v>
      </c>
      <c r="J3909">
        <v>0.159394437</v>
      </c>
      <c r="K3909"/>
      <c r="L3909" s="1">
        <v>105.6938</v>
      </c>
      <c r="M3909">
        <v>3.9</v>
      </c>
    </row>
    <row r="3910" spans="1:13" x14ac:dyDescent="0.3">
      <c r="A3910" t="s">
        <v>10</v>
      </c>
      <c r="B3910">
        <v>3909</v>
      </c>
      <c r="C3910" t="s">
        <v>498</v>
      </c>
      <c r="D3910" t="s">
        <v>57</v>
      </c>
      <c r="E3910">
        <v>2018</v>
      </c>
      <c r="F3910" t="s">
        <v>138</v>
      </c>
      <c r="G3910" t="s">
        <v>14</v>
      </c>
      <c r="H3910" t="s">
        <v>26</v>
      </c>
      <c r="I3910" t="s">
        <v>40</v>
      </c>
      <c r="J3910">
        <v>2.8062401000000001E-2</v>
      </c>
      <c r="K3910"/>
      <c r="L3910" s="1">
        <v>44.040199999999999</v>
      </c>
      <c r="M3910">
        <v>3.9</v>
      </c>
    </row>
    <row r="3911" spans="1:13" x14ac:dyDescent="0.3">
      <c r="A3911" t="s">
        <v>10</v>
      </c>
      <c r="B3911">
        <v>3910</v>
      </c>
      <c r="C3911" t="s">
        <v>1414</v>
      </c>
      <c r="D3911" t="s">
        <v>67</v>
      </c>
      <c r="E3911">
        <v>2018</v>
      </c>
      <c r="F3911" t="s">
        <v>138</v>
      </c>
      <c r="G3911" t="s">
        <v>14</v>
      </c>
      <c r="H3911" t="s">
        <v>26</v>
      </c>
      <c r="I3911" t="s">
        <v>40</v>
      </c>
      <c r="J3911">
        <v>1.4497036E-2</v>
      </c>
      <c r="K3911"/>
      <c r="L3911" s="1">
        <v>150.8708</v>
      </c>
      <c r="M3911">
        <v>3.9</v>
      </c>
    </row>
    <row r="3912" spans="1:13" x14ac:dyDescent="0.3">
      <c r="A3912" t="s">
        <v>10</v>
      </c>
      <c r="B3912">
        <v>3911</v>
      </c>
      <c r="C3912" t="s">
        <v>1482</v>
      </c>
      <c r="D3912" t="s">
        <v>67</v>
      </c>
      <c r="E3912">
        <v>2018</v>
      </c>
      <c r="F3912" t="s">
        <v>138</v>
      </c>
      <c r="G3912" t="s">
        <v>14</v>
      </c>
      <c r="H3912" t="s">
        <v>26</v>
      </c>
      <c r="I3912" t="s">
        <v>40</v>
      </c>
      <c r="J3912">
        <v>0.173587926</v>
      </c>
      <c r="K3912"/>
      <c r="L3912" s="1">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K3913"/>
      <c r="L3913" s="1">
        <v>247.8092</v>
      </c>
      <c r="M3913">
        <v>3.9</v>
      </c>
    </row>
    <row r="3914" spans="1:13" x14ac:dyDescent="0.3">
      <c r="A3914" t="s">
        <v>10</v>
      </c>
      <c r="B3914">
        <v>3913</v>
      </c>
      <c r="C3914" t="s">
        <v>1158</v>
      </c>
      <c r="D3914" t="s">
        <v>12</v>
      </c>
      <c r="E3914">
        <v>2018</v>
      </c>
      <c r="F3914" t="s">
        <v>138</v>
      </c>
      <c r="G3914" t="s">
        <v>14</v>
      </c>
      <c r="H3914" t="s">
        <v>26</v>
      </c>
      <c r="I3914" t="s">
        <v>40</v>
      </c>
      <c r="J3914">
        <v>7.2762086000000004E-2</v>
      </c>
      <c r="K3914"/>
      <c r="L3914" s="1">
        <v>120.9072</v>
      </c>
      <c r="M3914">
        <v>3.9</v>
      </c>
    </row>
    <row r="3915" spans="1:13" x14ac:dyDescent="0.3">
      <c r="A3915" t="s">
        <v>10</v>
      </c>
      <c r="B3915">
        <v>3914</v>
      </c>
      <c r="C3915" t="s">
        <v>1053</v>
      </c>
      <c r="D3915" t="s">
        <v>12</v>
      </c>
      <c r="E3915">
        <v>2018</v>
      </c>
      <c r="F3915" t="s">
        <v>138</v>
      </c>
      <c r="G3915" t="s">
        <v>14</v>
      </c>
      <c r="H3915" t="s">
        <v>26</v>
      </c>
      <c r="I3915" t="s">
        <v>40</v>
      </c>
      <c r="J3915">
        <v>0.150238656</v>
      </c>
      <c r="K3915"/>
      <c r="L3915" s="1">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K3916"/>
      <c r="L3916" s="1">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s="1">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s="1">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s="1">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s="1">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s="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s="1">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s="1">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s="1">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s="1">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s="1">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s="1">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s="1">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s="1">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s="1">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s="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s="1">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s="1">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s="1">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s="1">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s="1">
        <v>226.1404</v>
      </c>
      <c r="M3936">
        <v>3.9</v>
      </c>
    </row>
    <row r="3937" spans="1:13" x14ac:dyDescent="0.3">
      <c r="A3937" t="s">
        <v>10</v>
      </c>
      <c r="B3937">
        <v>3936</v>
      </c>
      <c r="C3937" t="s">
        <v>883</v>
      </c>
      <c r="D3937" t="s">
        <v>28</v>
      </c>
      <c r="E3937">
        <v>2016</v>
      </c>
      <c r="F3937" t="s">
        <v>25</v>
      </c>
      <c r="G3937" t="s">
        <v>14</v>
      </c>
      <c r="H3937" t="s">
        <v>26</v>
      </c>
      <c r="I3937" t="s">
        <v>16</v>
      </c>
      <c r="J3937">
        <v>0</v>
      </c>
      <c r="K3937">
        <v>9.5</v>
      </c>
      <c r="L3937" s="1">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s="1">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s="1">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s="1">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s="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s="1">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s="1">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s="1">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s="1">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s="1">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s="1">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s="1">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s="1">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s="1">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s="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s="1">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s="1">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s="1">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s="1">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s="1">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s="1">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s="1">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s="1">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s="1">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s="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s="1">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s="1">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s="1">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s="1">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s="1">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s="1">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s="1">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s="1">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s="1">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s="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s="1">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s="1">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s="1">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s="1">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s="1">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s="1">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s="1">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s="1">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s="1">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s="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s="1">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s="1">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s="1">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s="1">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s="1">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s="1">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s="1">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s="1">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s="1">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s="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s="1">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s="1">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s="1">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s="1">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s="1">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s="1">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s="1">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s="1">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s="1">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s="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s="1">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s="1">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s="1">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s="1">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s="1">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s="1">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s="1">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s="1">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s="1">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s="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s="1">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s="1">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s="1">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s="1">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s="1">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s="1">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s="1">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s="1">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s="1">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s="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s="1">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s="1">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s="1">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s="1">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s="1">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s="1">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s="1">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s="1">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s="1">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s="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s="1">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s="1">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s="1">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s="1">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s="1">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s="1">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s="1">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s="1">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s="1">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s="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s="1">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s="1">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s="1">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s="1">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s="1">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s="1">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s="1">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s="1">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s="1">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s="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s="1">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s="1">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s="1">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s="1">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s="1">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s="1">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s="1">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s="1">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s="1">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s="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s="1">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s="1">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s="1">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s="1">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s="1">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s="1">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s="1">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s="1">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s="1">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s="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s="1">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s="1">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s="1">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s="1">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s="1">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s="1">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s="1">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s="1">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s="1">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s="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s="1">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s="1">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s="1">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s="1">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s="1">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s="1">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s="1">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s="1">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s="1">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s="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s="1">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s="1">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s="1">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s="1">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s="1">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s="1">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s="1">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s="1">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s="1">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s="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s="1">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s="1">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K4104"/>
      <c r="L4104" s="1">
        <v>149.4708</v>
      </c>
      <c r="M4104">
        <v>3.9</v>
      </c>
    </row>
    <row r="4105" spans="1:13" x14ac:dyDescent="0.3">
      <c r="A4105" t="s">
        <v>17</v>
      </c>
      <c r="B4105">
        <v>4104</v>
      </c>
      <c r="C4105" t="s">
        <v>766</v>
      </c>
      <c r="D4105" t="s">
        <v>28</v>
      </c>
      <c r="E4105">
        <v>2018</v>
      </c>
      <c r="F4105" t="s">
        <v>45</v>
      </c>
      <c r="G4105" t="s">
        <v>21</v>
      </c>
      <c r="H4105" t="s">
        <v>15</v>
      </c>
      <c r="I4105" t="s">
        <v>46</v>
      </c>
      <c r="J4105">
        <v>1.1206631999999999E-2</v>
      </c>
      <c r="K4105"/>
      <c r="L4105" s="1">
        <v>191.4188</v>
      </c>
      <c r="M4105">
        <v>3.9</v>
      </c>
    </row>
    <row r="4106" spans="1:13" x14ac:dyDescent="0.3">
      <c r="A4106" t="s">
        <v>17</v>
      </c>
      <c r="B4106">
        <v>4105</v>
      </c>
      <c r="C4106" t="s">
        <v>588</v>
      </c>
      <c r="D4106" t="s">
        <v>67</v>
      </c>
      <c r="E4106">
        <v>2018</v>
      </c>
      <c r="F4106" t="s">
        <v>45</v>
      </c>
      <c r="G4106" t="s">
        <v>21</v>
      </c>
      <c r="H4106" t="s">
        <v>15</v>
      </c>
      <c r="I4106" t="s">
        <v>46</v>
      </c>
      <c r="J4106">
        <v>6.1686402000000001E-2</v>
      </c>
      <c r="K4106"/>
      <c r="L4106" s="1">
        <v>153.99979999999999</v>
      </c>
      <c r="M4106">
        <v>3.9</v>
      </c>
    </row>
    <row r="4107" spans="1:13" x14ac:dyDescent="0.3">
      <c r="A4107" t="s">
        <v>17</v>
      </c>
      <c r="B4107">
        <v>4106</v>
      </c>
      <c r="C4107" t="s">
        <v>549</v>
      </c>
      <c r="D4107" t="s">
        <v>67</v>
      </c>
      <c r="E4107">
        <v>2018</v>
      </c>
      <c r="F4107" t="s">
        <v>45</v>
      </c>
      <c r="G4107" t="s">
        <v>21</v>
      </c>
      <c r="H4107" t="s">
        <v>15</v>
      </c>
      <c r="I4107" t="s">
        <v>46</v>
      </c>
      <c r="J4107">
        <v>4.9623924E-2</v>
      </c>
      <c r="K4107"/>
      <c r="L4107" s="1">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K4108"/>
      <c r="L4108" s="1">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K4109"/>
      <c r="L4109" s="1">
        <v>179.0976</v>
      </c>
      <c r="M4109">
        <v>3.9</v>
      </c>
    </row>
    <row r="4110" spans="1:13" x14ac:dyDescent="0.3">
      <c r="A4110" t="s">
        <v>17</v>
      </c>
      <c r="B4110">
        <v>4109</v>
      </c>
      <c r="C4110" t="s">
        <v>81</v>
      </c>
      <c r="D4110" t="s">
        <v>12</v>
      </c>
      <c r="E4110">
        <v>2018</v>
      </c>
      <c r="F4110" t="s">
        <v>45</v>
      </c>
      <c r="G4110" t="s">
        <v>21</v>
      </c>
      <c r="H4110" t="s">
        <v>15</v>
      </c>
      <c r="I4110" t="s">
        <v>46</v>
      </c>
      <c r="J4110">
        <v>0</v>
      </c>
      <c r="K4110"/>
      <c r="L4110" s="1">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K4111"/>
      <c r="L4111" s="1">
        <v>192.982</v>
      </c>
      <c r="M4111">
        <v>3.9</v>
      </c>
    </row>
    <row r="4112" spans="1:13" x14ac:dyDescent="0.3">
      <c r="A4112" t="s">
        <v>17</v>
      </c>
      <c r="B4112">
        <v>4111</v>
      </c>
      <c r="C4112" t="s">
        <v>1263</v>
      </c>
      <c r="D4112" t="s">
        <v>42</v>
      </c>
      <c r="E4112">
        <v>2018</v>
      </c>
      <c r="F4112" t="s">
        <v>45</v>
      </c>
      <c r="G4112" t="s">
        <v>21</v>
      </c>
      <c r="H4112" t="s">
        <v>15</v>
      </c>
      <c r="I4112" t="s">
        <v>46</v>
      </c>
      <c r="J4112">
        <v>1.3066448E-2</v>
      </c>
      <c r="K4112"/>
      <c r="L4112" s="1">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K4113"/>
      <c r="L4113" s="1">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K4114"/>
      <c r="L4114" s="1">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K4115"/>
      <c r="L4115" s="1">
        <v>116.61239999999999</v>
      </c>
      <c r="M4115">
        <v>3.9</v>
      </c>
    </row>
    <row r="4116" spans="1:13" x14ac:dyDescent="0.3">
      <c r="A4116" t="s">
        <v>17</v>
      </c>
      <c r="B4116">
        <v>4115</v>
      </c>
      <c r="C4116" t="s">
        <v>1477</v>
      </c>
      <c r="D4116" t="s">
        <v>42</v>
      </c>
      <c r="E4116">
        <v>2018</v>
      </c>
      <c r="F4116" t="s">
        <v>45</v>
      </c>
      <c r="G4116" t="s">
        <v>21</v>
      </c>
      <c r="H4116" t="s">
        <v>15</v>
      </c>
      <c r="I4116" t="s">
        <v>46</v>
      </c>
      <c r="J4116">
        <v>0.134418705</v>
      </c>
      <c r="K4116"/>
      <c r="L4116" s="1">
        <v>99.67</v>
      </c>
      <c r="M4116">
        <v>3.9</v>
      </c>
    </row>
    <row r="4117" spans="1:13" x14ac:dyDescent="0.3">
      <c r="A4117" t="s">
        <v>17</v>
      </c>
      <c r="B4117">
        <v>4116</v>
      </c>
      <c r="C4117" t="s">
        <v>1252</v>
      </c>
      <c r="D4117" t="s">
        <v>54</v>
      </c>
      <c r="E4117">
        <v>2018</v>
      </c>
      <c r="F4117" t="s">
        <v>45</v>
      </c>
      <c r="G4117" t="s">
        <v>21</v>
      </c>
      <c r="H4117" t="s">
        <v>15</v>
      </c>
      <c r="I4117" t="s">
        <v>46</v>
      </c>
      <c r="J4117">
        <v>0.145464606</v>
      </c>
      <c r="K4117"/>
      <c r="L4117" s="1">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K4118"/>
      <c r="L4118" s="1">
        <v>222.7088</v>
      </c>
      <c r="M4118">
        <v>3.9</v>
      </c>
    </row>
    <row r="4119" spans="1:13" x14ac:dyDescent="0.3">
      <c r="A4119" t="s">
        <v>17</v>
      </c>
      <c r="B4119">
        <v>4118</v>
      </c>
      <c r="C4119" t="s">
        <v>1537</v>
      </c>
      <c r="D4119" t="s">
        <v>32</v>
      </c>
      <c r="E4119">
        <v>2018</v>
      </c>
      <c r="F4119" t="s">
        <v>45</v>
      </c>
      <c r="G4119" t="s">
        <v>21</v>
      </c>
      <c r="H4119" t="s">
        <v>15</v>
      </c>
      <c r="I4119" t="s">
        <v>46</v>
      </c>
      <c r="J4119">
        <v>0</v>
      </c>
      <c r="K4119"/>
      <c r="L4119" s="1">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K4120"/>
      <c r="L4120" s="1">
        <v>133.1626</v>
      </c>
      <c r="M4120">
        <v>3.9</v>
      </c>
    </row>
    <row r="4121" spans="1:13" x14ac:dyDescent="0.3">
      <c r="A4121" t="s">
        <v>10</v>
      </c>
      <c r="B4121">
        <v>4120</v>
      </c>
      <c r="C4121" t="s">
        <v>1090</v>
      </c>
      <c r="D4121" t="s">
        <v>57</v>
      </c>
      <c r="E4121">
        <v>2018</v>
      </c>
      <c r="F4121" t="s">
        <v>45</v>
      </c>
      <c r="G4121" t="s">
        <v>21</v>
      </c>
      <c r="H4121" t="s">
        <v>15</v>
      </c>
      <c r="I4121" t="s">
        <v>46</v>
      </c>
      <c r="J4121">
        <v>5.4220617999999998E-2</v>
      </c>
      <c r="K4121"/>
      <c r="L4121" s="1">
        <v>129.131</v>
      </c>
      <c r="M4121">
        <v>3.9</v>
      </c>
    </row>
    <row r="4122" spans="1:13" x14ac:dyDescent="0.3">
      <c r="A4122" t="s">
        <v>10</v>
      </c>
      <c r="B4122">
        <v>4121</v>
      </c>
      <c r="C4122" t="s">
        <v>1540</v>
      </c>
      <c r="D4122" t="s">
        <v>24</v>
      </c>
      <c r="E4122">
        <v>2018</v>
      </c>
      <c r="F4122" t="s">
        <v>45</v>
      </c>
      <c r="G4122" t="s">
        <v>21</v>
      </c>
      <c r="H4122" t="s">
        <v>15</v>
      </c>
      <c r="I4122" t="s">
        <v>46</v>
      </c>
      <c r="J4122">
        <v>3.7681358999999998E-2</v>
      </c>
      <c r="K4122"/>
      <c r="L4122" s="1">
        <v>125.1046</v>
      </c>
      <c r="M4122">
        <v>3.9</v>
      </c>
    </row>
    <row r="4123" spans="1:13" x14ac:dyDescent="0.3">
      <c r="A4123" t="s">
        <v>10</v>
      </c>
      <c r="B4123">
        <v>4122</v>
      </c>
      <c r="C4123" t="s">
        <v>580</v>
      </c>
      <c r="D4123" t="s">
        <v>24</v>
      </c>
      <c r="E4123">
        <v>2018</v>
      </c>
      <c r="F4123" t="s">
        <v>45</v>
      </c>
      <c r="G4123" t="s">
        <v>21</v>
      </c>
      <c r="H4123" t="s">
        <v>15</v>
      </c>
      <c r="I4123" t="s">
        <v>46</v>
      </c>
      <c r="J4123">
        <v>1.9837654999999999E-2</v>
      </c>
      <c r="K4123"/>
      <c r="L4123" s="1">
        <v>128.131</v>
      </c>
      <c r="M4123">
        <v>3.9</v>
      </c>
    </row>
    <row r="4124" spans="1:13" x14ac:dyDescent="0.3">
      <c r="A4124" t="s">
        <v>10</v>
      </c>
      <c r="B4124">
        <v>4123</v>
      </c>
      <c r="C4124" t="s">
        <v>1484</v>
      </c>
      <c r="D4124" t="s">
        <v>12</v>
      </c>
      <c r="E4124">
        <v>2018</v>
      </c>
      <c r="F4124" t="s">
        <v>45</v>
      </c>
      <c r="G4124" t="s">
        <v>21</v>
      </c>
      <c r="H4124" t="s">
        <v>15</v>
      </c>
      <c r="I4124" t="s">
        <v>46</v>
      </c>
      <c r="J4124">
        <v>2.2807826E-2</v>
      </c>
      <c r="K4124"/>
      <c r="L4124" s="1">
        <v>183.495</v>
      </c>
      <c r="M4124">
        <v>3.9</v>
      </c>
    </row>
    <row r="4125" spans="1:13" x14ac:dyDescent="0.3">
      <c r="A4125" t="s">
        <v>10</v>
      </c>
      <c r="B4125">
        <v>4124</v>
      </c>
      <c r="C4125" t="s">
        <v>443</v>
      </c>
      <c r="D4125" t="s">
        <v>12</v>
      </c>
      <c r="E4125">
        <v>2018</v>
      </c>
      <c r="F4125" t="s">
        <v>45</v>
      </c>
      <c r="G4125" t="s">
        <v>21</v>
      </c>
      <c r="H4125" t="s">
        <v>15</v>
      </c>
      <c r="I4125" t="s">
        <v>46</v>
      </c>
      <c r="J4125">
        <v>6.2109174000000003E-2</v>
      </c>
      <c r="K4125"/>
      <c r="L4125" s="1">
        <v>223.7062</v>
      </c>
      <c r="M4125">
        <v>3.9</v>
      </c>
    </row>
    <row r="4126" spans="1:13" x14ac:dyDescent="0.3">
      <c r="A4126" t="s">
        <v>10</v>
      </c>
      <c r="B4126">
        <v>4125</v>
      </c>
      <c r="C4126" t="s">
        <v>809</v>
      </c>
      <c r="D4126" t="s">
        <v>54</v>
      </c>
      <c r="E4126">
        <v>2018</v>
      </c>
      <c r="F4126" t="s">
        <v>45</v>
      </c>
      <c r="G4126" t="s">
        <v>21</v>
      </c>
      <c r="H4126" t="s">
        <v>15</v>
      </c>
      <c r="I4126" t="s">
        <v>46</v>
      </c>
      <c r="J4126">
        <v>9.4201477000000006E-2</v>
      </c>
      <c r="K4126"/>
      <c r="L4126" s="1">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K4127"/>
      <c r="L4127" s="1">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K4128"/>
      <c r="L4128" s="1">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K4129"/>
      <c r="L4129" s="1">
        <v>165.7868</v>
      </c>
      <c r="M4129">
        <v>3.9</v>
      </c>
    </row>
    <row r="4130" spans="1:13" x14ac:dyDescent="0.3">
      <c r="A4130" t="s">
        <v>35</v>
      </c>
      <c r="B4130">
        <v>4129</v>
      </c>
      <c r="C4130" t="s">
        <v>278</v>
      </c>
      <c r="D4130" t="s">
        <v>19</v>
      </c>
      <c r="E4130">
        <v>2018</v>
      </c>
      <c r="F4130" t="s">
        <v>45</v>
      </c>
      <c r="G4130" t="s">
        <v>21</v>
      </c>
      <c r="H4130" t="s">
        <v>15</v>
      </c>
      <c r="I4130" t="s">
        <v>46</v>
      </c>
      <c r="J4130">
        <v>7.5368868000000006E-2</v>
      </c>
      <c r="K4130"/>
      <c r="L4130" s="1">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s="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s="1">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s="1">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s="1">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s="1">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K4136"/>
      <c r="L4136" s="1">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s="1">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s="1">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s="1">
        <v>227.1062</v>
      </c>
      <c r="M4139">
        <v>3.8</v>
      </c>
    </row>
    <row r="4140" spans="1:13" x14ac:dyDescent="0.3">
      <c r="A4140" t="s">
        <v>17</v>
      </c>
      <c r="B4140">
        <v>4139</v>
      </c>
      <c r="C4140" t="s">
        <v>342</v>
      </c>
      <c r="D4140" t="s">
        <v>95</v>
      </c>
      <c r="E4140">
        <v>2018</v>
      </c>
      <c r="F4140" t="s">
        <v>138</v>
      </c>
      <c r="G4140" t="s">
        <v>14</v>
      </c>
      <c r="H4140" t="s">
        <v>26</v>
      </c>
      <c r="I4140" t="s">
        <v>40</v>
      </c>
      <c r="J4140">
        <v>0.143592939</v>
      </c>
      <c r="K4140"/>
      <c r="L4140" s="1">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s="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s="1">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s="1">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s="1">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s="1">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s="1">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s="1">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s="1">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s="1">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s="1">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s="1">
        <v>239.4564</v>
      </c>
      <c r="M4151">
        <v>3.8</v>
      </c>
    </row>
    <row r="4152" spans="1:13" x14ac:dyDescent="0.3">
      <c r="A4152" t="s">
        <v>17</v>
      </c>
      <c r="B4152">
        <v>4151</v>
      </c>
      <c r="C4152" t="s">
        <v>991</v>
      </c>
      <c r="D4152" t="s">
        <v>19</v>
      </c>
      <c r="E4152">
        <v>2018</v>
      </c>
      <c r="F4152" t="s">
        <v>45</v>
      </c>
      <c r="G4152" t="s">
        <v>21</v>
      </c>
      <c r="H4152" t="s">
        <v>15</v>
      </c>
      <c r="I4152" t="s">
        <v>46</v>
      </c>
      <c r="J4152">
        <v>3.7711337999999997E-2</v>
      </c>
      <c r="K4152"/>
      <c r="L4152" s="1">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s="1">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s="1">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s="1">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s="1">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s="1">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s="1">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s="1">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s="1">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s="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s="1">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s="1">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s="1">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s="1">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s="1">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s="1">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s="1">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s="1">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s="1">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s="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s="1">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s="1">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s="1">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s="1">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s="1">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s="1">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K4178"/>
      <c r="L4178" s="1">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K4179"/>
      <c r="L4179" s="1">
        <v>196.011</v>
      </c>
      <c r="M4179">
        <v>3.8</v>
      </c>
    </row>
    <row r="4180" spans="1:13" x14ac:dyDescent="0.3">
      <c r="A4180" t="s">
        <v>17</v>
      </c>
      <c r="B4180">
        <v>4179</v>
      </c>
      <c r="C4180" t="s">
        <v>644</v>
      </c>
      <c r="D4180" t="s">
        <v>32</v>
      </c>
      <c r="E4180">
        <v>2018</v>
      </c>
      <c r="F4180" t="s">
        <v>138</v>
      </c>
      <c r="G4180" t="s">
        <v>14</v>
      </c>
      <c r="H4180" t="s">
        <v>26</v>
      </c>
      <c r="I4180" t="s">
        <v>40</v>
      </c>
      <c r="J4180">
        <v>3.3929133E-2</v>
      </c>
      <c r="K4180"/>
      <c r="L4180" s="1">
        <v>154.3972</v>
      </c>
      <c r="M4180">
        <v>3.8</v>
      </c>
    </row>
    <row r="4181" spans="1:13" x14ac:dyDescent="0.3">
      <c r="A4181" t="s">
        <v>17</v>
      </c>
      <c r="B4181">
        <v>4180</v>
      </c>
      <c r="C4181" t="s">
        <v>198</v>
      </c>
      <c r="D4181" t="s">
        <v>95</v>
      </c>
      <c r="E4181">
        <v>2018</v>
      </c>
      <c r="F4181" t="s">
        <v>138</v>
      </c>
      <c r="G4181" t="s">
        <v>14</v>
      </c>
      <c r="H4181" t="s">
        <v>26</v>
      </c>
      <c r="I4181" t="s">
        <v>40</v>
      </c>
      <c r="J4181">
        <v>0.13227533799999999</v>
      </c>
      <c r="K4181"/>
      <c r="L4181" s="1">
        <v>123.83880000000001</v>
      </c>
      <c r="M4181">
        <v>3.8</v>
      </c>
    </row>
    <row r="4182" spans="1:13" x14ac:dyDescent="0.3">
      <c r="A4182" t="s">
        <v>17</v>
      </c>
      <c r="B4182">
        <v>4181</v>
      </c>
      <c r="C4182" t="s">
        <v>1061</v>
      </c>
      <c r="D4182" t="s">
        <v>95</v>
      </c>
      <c r="E4182">
        <v>2018</v>
      </c>
      <c r="F4182" t="s">
        <v>138</v>
      </c>
      <c r="G4182" t="s">
        <v>14</v>
      </c>
      <c r="H4182" t="s">
        <v>26</v>
      </c>
      <c r="I4182" t="s">
        <v>40</v>
      </c>
      <c r="J4182">
        <v>0</v>
      </c>
      <c r="K4182"/>
      <c r="L4182" s="1">
        <v>81.861800000000002</v>
      </c>
      <c r="M4182">
        <v>3.8</v>
      </c>
    </row>
    <row r="4183" spans="1:13" x14ac:dyDescent="0.3">
      <c r="A4183" t="s">
        <v>17</v>
      </c>
      <c r="B4183">
        <v>4182</v>
      </c>
      <c r="C4183" t="s">
        <v>766</v>
      </c>
      <c r="D4183" t="s">
        <v>28</v>
      </c>
      <c r="E4183">
        <v>2018</v>
      </c>
      <c r="F4183" t="s">
        <v>138</v>
      </c>
      <c r="G4183" t="s">
        <v>14</v>
      </c>
      <c r="H4183" t="s">
        <v>26</v>
      </c>
      <c r="I4183" t="s">
        <v>40</v>
      </c>
      <c r="J4183">
        <v>1.9716846E-2</v>
      </c>
      <c r="K4183"/>
      <c r="L4183" s="1">
        <v>191.9188</v>
      </c>
      <c r="M4183">
        <v>3.8</v>
      </c>
    </row>
    <row r="4184" spans="1:13" x14ac:dyDescent="0.3">
      <c r="A4184" t="s">
        <v>17</v>
      </c>
      <c r="B4184">
        <v>4183</v>
      </c>
      <c r="C4184" t="s">
        <v>1145</v>
      </c>
      <c r="D4184" t="s">
        <v>12</v>
      </c>
      <c r="E4184">
        <v>2018</v>
      </c>
      <c r="F4184" t="s">
        <v>138</v>
      </c>
      <c r="G4184" t="s">
        <v>14</v>
      </c>
      <c r="H4184" t="s">
        <v>26</v>
      </c>
      <c r="I4184" t="s">
        <v>40</v>
      </c>
      <c r="J4184">
        <v>0.30814544799999999</v>
      </c>
      <c r="K4184"/>
      <c r="L4184" s="1">
        <v>222.0772</v>
      </c>
      <c r="M4184">
        <v>3.8</v>
      </c>
    </row>
    <row r="4185" spans="1:13" x14ac:dyDescent="0.3">
      <c r="A4185" t="s">
        <v>17</v>
      </c>
      <c r="B4185">
        <v>4184</v>
      </c>
      <c r="C4185" t="s">
        <v>794</v>
      </c>
      <c r="D4185" t="s">
        <v>61</v>
      </c>
      <c r="E4185">
        <v>2018</v>
      </c>
      <c r="F4185" t="s">
        <v>138</v>
      </c>
      <c r="G4185" t="s">
        <v>14</v>
      </c>
      <c r="H4185" t="s">
        <v>26</v>
      </c>
      <c r="I4185" t="s">
        <v>40</v>
      </c>
      <c r="J4185">
        <v>6.0237464999999997E-2</v>
      </c>
      <c r="K4185"/>
      <c r="L4185" s="1">
        <v>115.9834</v>
      </c>
      <c r="M4185">
        <v>3.8</v>
      </c>
    </row>
    <row r="4186" spans="1:13" x14ac:dyDescent="0.3">
      <c r="A4186" t="s">
        <v>17</v>
      </c>
      <c r="B4186">
        <v>4185</v>
      </c>
      <c r="C4186" t="s">
        <v>1406</v>
      </c>
      <c r="D4186" t="s">
        <v>19</v>
      </c>
      <c r="E4186">
        <v>2018</v>
      </c>
      <c r="F4186" t="s">
        <v>138</v>
      </c>
      <c r="G4186" t="s">
        <v>14</v>
      </c>
      <c r="H4186" t="s">
        <v>26</v>
      </c>
      <c r="I4186" t="s">
        <v>40</v>
      </c>
      <c r="J4186">
        <v>2.1214363999999999E-2</v>
      </c>
      <c r="K4186"/>
      <c r="L4186" s="1">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K4187"/>
      <c r="L4187" s="1">
        <v>262.291</v>
      </c>
      <c r="M4187">
        <v>3.8</v>
      </c>
    </row>
    <row r="4188" spans="1:13" x14ac:dyDescent="0.3">
      <c r="A4188" t="s">
        <v>17</v>
      </c>
      <c r="B4188">
        <v>4187</v>
      </c>
      <c r="C4188" t="s">
        <v>631</v>
      </c>
      <c r="D4188" t="s">
        <v>64</v>
      </c>
      <c r="E4188">
        <v>2018</v>
      </c>
      <c r="F4188" t="s">
        <v>138</v>
      </c>
      <c r="G4188" t="s">
        <v>14</v>
      </c>
      <c r="H4188" t="s">
        <v>26</v>
      </c>
      <c r="I4188" t="s">
        <v>40</v>
      </c>
      <c r="J4188">
        <v>1.1835436E-2</v>
      </c>
      <c r="K4188"/>
      <c r="L4188" s="1">
        <v>121.373</v>
      </c>
      <c r="M4188">
        <v>3.8</v>
      </c>
    </row>
    <row r="4189" spans="1:13" x14ac:dyDescent="0.3">
      <c r="A4189" t="s">
        <v>10</v>
      </c>
      <c r="B4189">
        <v>4188</v>
      </c>
      <c r="C4189" t="s">
        <v>420</v>
      </c>
      <c r="D4189" t="s">
        <v>95</v>
      </c>
      <c r="E4189">
        <v>2018</v>
      </c>
      <c r="F4189" t="s">
        <v>138</v>
      </c>
      <c r="G4189" t="s">
        <v>14</v>
      </c>
      <c r="H4189" t="s">
        <v>26</v>
      </c>
      <c r="I4189" t="s">
        <v>40</v>
      </c>
      <c r="J4189">
        <v>0</v>
      </c>
      <c r="K4189"/>
      <c r="L4189" s="1">
        <v>121.3098</v>
      </c>
      <c r="M4189">
        <v>3.8</v>
      </c>
    </row>
    <row r="4190" spans="1:13" x14ac:dyDescent="0.3">
      <c r="A4190" t="s">
        <v>10</v>
      </c>
      <c r="B4190">
        <v>4189</v>
      </c>
      <c r="C4190" t="s">
        <v>266</v>
      </c>
      <c r="D4190" t="s">
        <v>95</v>
      </c>
      <c r="E4190">
        <v>2018</v>
      </c>
      <c r="F4190" t="s">
        <v>138</v>
      </c>
      <c r="G4190" t="s">
        <v>14</v>
      </c>
      <c r="H4190" t="s">
        <v>26</v>
      </c>
      <c r="I4190" t="s">
        <v>40</v>
      </c>
      <c r="J4190">
        <v>0.20548439499999999</v>
      </c>
      <c r="K4190"/>
      <c r="L4190" s="1">
        <v>198.011</v>
      </c>
      <c r="M4190">
        <v>3.8</v>
      </c>
    </row>
    <row r="4191" spans="1:13" x14ac:dyDescent="0.3">
      <c r="A4191" t="s">
        <v>10</v>
      </c>
      <c r="B4191">
        <v>4190</v>
      </c>
      <c r="C4191" t="s">
        <v>470</v>
      </c>
      <c r="D4191" t="s">
        <v>12</v>
      </c>
      <c r="E4191">
        <v>2018</v>
      </c>
      <c r="F4191" t="s">
        <v>138</v>
      </c>
      <c r="G4191" t="s">
        <v>14</v>
      </c>
      <c r="H4191" t="s">
        <v>26</v>
      </c>
      <c r="I4191" t="s">
        <v>40</v>
      </c>
      <c r="J4191">
        <v>6.6765522999999993E-2</v>
      </c>
      <c r="K4191"/>
      <c r="L4191" s="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s="1">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s="1">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s="1">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s="1">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s="1">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s="1">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s="1">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s="1">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s="1">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s="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s="1">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s="1">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s="1">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s="1">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s="1">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s="1">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s="1">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s="1">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s="1">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s="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s="1">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s="1">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s="1">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s="1">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s="1">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s="1">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s="1">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s="1">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s="1">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s="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s="1">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s="1">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s="1">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s="1">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s="1">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s="1">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s="1">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s="1">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s="1">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s="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s="1">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s="1">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s="1">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s="1">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s="1">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s="1">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s="1">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s="1">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s="1">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s="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s="1">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s="1">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s="1">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s="1">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s="1">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s="1">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s="1">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s="1">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s="1">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s="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s="1">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s="1">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s="1">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s="1">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s="1">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s="1">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s="1">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s="1">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s="1">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s="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s="1">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s="1">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s="1">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s="1">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s="1">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s="1">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s="1">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s="1">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s="1">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s="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s="1">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s="1">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s="1">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s="1">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s="1">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s="1">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s="1">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s="1">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s="1">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s="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s="1">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s="1">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s="1">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s="1">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s="1">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s="1">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s="1">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s="1">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s="1">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s="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s="1">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s="1">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s="1">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s="1">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s="1">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s="1">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s="1">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s="1">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s="1">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s="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s="1">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s="1">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s="1">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s="1">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s="1">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s="1">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s="1">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s="1">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s="1">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s="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s="1">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s="1">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s="1">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s="1">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s="1">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s="1">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s="1">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s="1">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s="1">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s="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s="1">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s="1">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s="1">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s="1">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s="1">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s="1">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s="1">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s="1">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s="1">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s="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s="1">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s="1">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s="1">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s="1">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s="1">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s="1">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s="1">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s="1">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s="1">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s="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s="1">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s="1">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s="1">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s="1">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s="1">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s="1">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s="1">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s="1">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s="1">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s="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s="1">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s="1">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s="1">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K4355"/>
      <c r="L4355" s="1">
        <v>211.55860000000001</v>
      </c>
      <c r="M4355">
        <v>3.8</v>
      </c>
    </row>
    <row r="4356" spans="1:13" x14ac:dyDescent="0.3">
      <c r="A4356" t="s">
        <v>17</v>
      </c>
      <c r="B4356">
        <v>4355</v>
      </c>
      <c r="C4356" t="s">
        <v>816</v>
      </c>
      <c r="D4356" t="s">
        <v>95</v>
      </c>
      <c r="E4356">
        <v>2018</v>
      </c>
      <c r="F4356" t="s">
        <v>45</v>
      </c>
      <c r="G4356" t="s">
        <v>21</v>
      </c>
      <c r="H4356" t="s">
        <v>15</v>
      </c>
      <c r="I4356" t="s">
        <v>46</v>
      </c>
      <c r="J4356">
        <v>1.3861607E-2</v>
      </c>
      <c r="K4356"/>
      <c r="L4356" s="1">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K4357"/>
      <c r="L4357" s="1">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K4358"/>
      <c r="L4358" s="1">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K4359"/>
      <c r="L4359" s="1">
        <v>255.3698</v>
      </c>
      <c r="M4359">
        <v>3.8</v>
      </c>
    </row>
    <row r="4360" spans="1:13" x14ac:dyDescent="0.3">
      <c r="A4360" t="s">
        <v>17</v>
      </c>
      <c r="B4360">
        <v>4359</v>
      </c>
      <c r="C4360" t="s">
        <v>141</v>
      </c>
      <c r="D4360" t="s">
        <v>12</v>
      </c>
      <c r="E4360">
        <v>2018</v>
      </c>
      <c r="F4360" t="s">
        <v>45</v>
      </c>
      <c r="G4360" t="s">
        <v>21</v>
      </c>
      <c r="H4360" t="s">
        <v>15</v>
      </c>
      <c r="I4360" t="s">
        <v>46</v>
      </c>
      <c r="J4360">
        <v>2.1498768000000001E-2</v>
      </c>
      <c r="K4360"/>
      <c r="L4360" s="1">
        <v>111.5228</v>
      </c>
      <c r="M4360">
        <v>3.8</v>
      </c>
    </row>
    <row r="4361" spans="1:13" x14ac:dyDescent="0.3">
      <c r="A4361" t="s">
        <v>17</v>
      </c>
      <c r="B4361">
        <v>4360</v>
      </c>
      <c r="C4361" t="s">
        <v>347</v>
      </c>
      <c r="D4361" t="s">
        <v>12</v>
      </c>
      <c r="E4361">
        <v>2018</v>
      </c>
      <c r="F4361" t="s">
        <v>45</v>
      </c>
      <c r="G4361" t="s">
        <v>21</v>
      </c>
      <c r="H4361" t="s">
        <v>15</v>
      </c>
      <c r="I4361" t="s">
        <v>46</v>
      </c>
      <c r="J4361">
        <v>5.7512480999999997E-2</v>
      </c>
      <c r="K4361"/>
      <c r="L4361" s="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K4362"/>
      <c r="L4362" s="1">
        <v>185.6266</v>
      </c>
      <c r="M4362">
        <v>3.8</v>
      </c>
    </row>
    <row r="4363" spans="1:13" x14ac:dyDescent="0.3">
      <c r="A4363" t="s">
        <v>17</v>
      </c>
      <c r="B4363">
        <v>4362</v>
      </c>
      <c r="C4363" t="s">
        <v>143</v>
      </c>
      <c r="D4363" t="s">
        <v>12</v>
      </c>
      <c r="E4363">
        <v>2018</v>
      </c>
      <c r="F4363" t="s">
        <v>45</v>
      </c>
      <c r="G4363" t="s">
        <v>21</v>
      </c>
      <c r="H4363" t="s">
        <v>15</v>
      </c>
      <c r="I4363" t="s">
        <v>46</v>
      </c>
      <c r="J4363">
        <v>2.5612348E-2</v>
      </c>
      <c r="K4363"/>
      <c r="L4363" s="1">
        <v>168.2474</v>
      </c>
      <c r="M4363">
        <v>3.8</v>
      </c>
    </row>
    <row r="4364" spans="1:13" x14ac:dyDescent="0.3">
      <c r="A4364" t="s">
        <v>17</v>
      </c>
      <c r="B4364">
        <v>4363</v>
      </c>
      <c r="C4364" t="s">
        <v>1083</v>
      </c>
      <c r="D4364" t="s">
        <v>61</v>
      </c>
      <c r="E4364">
        <v>2018</v>
      </c>
      <c r="F4364" t="s">
        <v>45</v>
      </c>
      <c r="G4364" t="s">
        <v>21</v>
      </c>
      <c r="H4364" t="s">
        <v>15</v>
      </c>
      <c r="I4364" t="s">
        <v>46</v>
      </c>
      <c r="J4364">
        <v>0.13653256899999999</v>
      </c>
      <c r="K4364"/>
      <c r="L4364" s="1">
        <v>159.65780000000001</v>
      </c>
      <c r="M4364">
        <v>3.8</v>
      </c>
    </row>
    <row r="4365" spans="1:13" x14ac:dyDescent="0.3">
      <c r="A4365" t="s">
        <v>17</v>
      </c>
      <c r="B4365">
        <v>4364</v>
      </c>
      <c r="C4365" t="s">
        <v>795</v>
      </c>
      <c r="D4365" t="s">
        <v>61</v>
      </c>
      <c r="E4365">
        <v>2018</v>
      </c>
      <c r="F4365" t="s">
        <v>45</v>
      </c>
      <c r="G4365" t="s">
        <v>21</v>
      </c>
      <c r="H4365" t="s">
        <v>15</v>
      </c>
      <c r="I4365" t="s">
        <v>46</v>
      </c>
      <c r="J4365">
        <v>3.8549197E-2</v>
      </c>
      <c r="K4365"/>
      <c r="L4365" s="1">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K4366"/>
      <c r="L4366" s="1">
        <v>197.411</v>
      </c>
      <c r="M4366">
        <v>3.8</v>
      </c>
    </row>
    <row r="4367" spans="1:13" x14ac:dyDescent="0.3">
      <c r="A4367" t="s">
        <v>17</v>
      </c>
      <c r="B4367">
        <v>4366</v>
      </c>
      <c r="C4367" t="s">
        <v>896</v>
      </c>
      <c r="D4367" t="s">
        <v>42</v>
      </c>
      <c r="E4367">
        <v>2018</v>
      </c>
      <c r="F4367" t="s">
        <v>45</v>
      </c>
      <c r="G4367" t="s">
        <v>21</v>
      </c>
      <c r="H4367" t="s">
        <v>15</v>
      </c>
      <c r="I4367" t="s">
        <v>46</v>
      </c>
      <c r="J4367">
        <v>0.16657250100000001</v>
      </c>
      <c r="K4367"/>
      <c r="L4367" s="1">
        <v>176.1712</v>
      </c>
      <c r="M4367">
        <v>3.8</v>
      </c>
    </row>
    <row r="4368" spans="1:13" x14ac:dyDescent="0.3">
      <c r="A4368" t="s">
        <v>17</v>
      </c>
      <c r="B4368">
        <v>4367</v>
      </c>
      <c r="C4368" t="s">
        <v>1508</v>
      </c>
      <c r="D4368" t="s">
        <v>42</v>
      </c>
      <c r="E4368">
        <v>2018</v>
      </c>
      <c r="F4368" t="s">
        <v>45</v>
      </c>
      <c r="G4368" t="s">
        <v>21</v>
      </c>
      <c r="H4368" t="s">
        <v>15</v>
      </c>
      <c r="I4368" t="s">
        <v>46</v>
      </c>
      <c r="J4368">
        <v>8.6046569999999999E-3</v>
      </c>
      <c r="K4368"/>
      <c r="L4368" s="1">
        <v>123.1756</v>
      </c>
      <c r="M4368">
        <v>3.8</v>
      </c>
    </row>
    <row r="4369" spans="1:13" x14ac:dyDescent="0.3">
      <c r="A4369" t="s">
        <v>17</v>
      </c>
      <c r="B4369">
        <v>4368</v>
      </c>
      <c r="C4369" t="s">
        <v>467</v>
      </c>
      <c r="D4369" t="s">
        <v>64</v>
      </c>
      <c r="E4369">
        <v>2018</v>
      </c>
      <c r="F4369" t="s">
        <v>45</v>
      </c>
      <c r="G4369" t="s">
        <v>21</v>
      </c>
      <c r="H4369" t="s">
        <v>15</v>
      </c>
      <c r="I4369" t="s">
        <v>46</v>
      </c>
      <c r="J4369">
        <v>3.9768320000000003E-2</v>
      </c>
      <c r="K4369"/>
      <c r="L4369" s="1">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K4370"/>
      <c r="L4370" s="1">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K4371"/>
      <c r="L4371" s="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K4372"/>
      <c r="L4372" s="1">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K4373"/>
      <c r="L4373" s="1">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K4374"/>
      <c r="L4374" s="1">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K4375"/>
      <c r="L4375" s="1">
        <v>186.5924</v>
      </c>
      <c r="M4375">
        <v>3.8</v>
      </c>
    </row>
    <row r="4376" spans="1:13" x14ac:dyDescent="0.3">
      <c r="A4376" t="s">
        <v>10</v>
      </c>
      <c r="B4376">
        <v>4375</v>
      </c>
      <c r="C4376" t="s">
        <v>1480</v>
      </c>
      <c r="D4376" t="s">
        <v>28</v>
      </c>
      <c r="E4376">
        <v>2018</v>
      </c>
      <c r="F4376" t="s">
        <v>45</v>
      </c>
      <c r="G4376" t="s">
        <v>21</v>
      </c>
      <c r="H4376" t="s">
        <v>15</v>
      </c>
      <c r="I4376" t="s">
        <v>46</v>
      </c>
      <c r="J4376">
        <v>5.3361619999999998E-2</v>
      </c>
      <c r="K4376"/>
      <c r="L4376" s="1">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K4377"/>
      <c r="L4377" s="1">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K4378"/>
      <c r="L4378" s="1">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K4379"/>
      <c r="L4379" s="1">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K4380"/>
      <c r="L4380" s="1">
        <v>178.7028</v>
      </c>
      <c r="M4380">
        <v>3.8</v>
      </c>
    </row>
    <row r="4381" spans="1:13" x14ac:dyDescent="0.3">
      <c r="A4381" t="s">
        <v>10</v>
      </c>
      <c r="B4381">
        <v>4380</v>
      </c>
      <c r="C4381" t="s">
        <v>1521</v>
      </c>
      <c r="D4381" t="s">
        <v>54</v>
      </c>
      <c r="E4381">
        <v>2018</v>
      </c>
      <c r="F4381" t="s">
        <v>45</v>
      </c>
      <c r="G4381" t="s">
        <v>21</v>
      </c>
      <c r="H4381" t="s">
        <v>15</v>
      </c>
      <c r="I4381" t="s">
        <v>46</v>
      </c>
      <c r="J4381">
        <v>4.9435597999999997E-2</v>
      </c>
      <c r="K4381"/>
      <c r="L4381" s="1">
        <v>209.7586</v>
      </c>
      <c r="M4381">
        <v>3.8</v>
      </c>
    </row>
    <row r="4382" spans="1:13" x14ac:dyDescent="0.3">
      <c r="A4382" t="s">
        <v>10</v>
      </c>
      <c r="B4382">
        <v>4381</v>
      </c>
      <c r="C4382" t="s">
        <v>659</v>
      </c>
      <c r="D4382" t="s">
        <v>48</v>
      </c>
      <c r="E4382">
        <v>2018</v>
      </c>
      <c r="F4382" t="s">
        <v>45</v>
      </c>
      <c r="G4382" t="s">
        <v>21</v>
      </c>
      <c r="H4382" t="s">
        <v>15</v>
      </c>
      <c r="I4382" t="s">
        <v>46</v>
      </c>
      <c r="J4382">
        <v>1.2203914999999999E-2</v>
      </c>
      <c r="K4382"/>
      <c r="L4382" s="1">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K4383"/>
      <c r="L4383" s="1">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s="1">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s="1">
        <v>93.143600000000006</v>
      </c>
      <c r="M4385">
        <v>3.7</v>
      </c>
    </row>
    <row r="4386" spans="1:13" x14ac:dyDescent="0.3">
      <c r="A4386" t="s">
        <v>10</v>
      </c>
      <c r="B4386">
        <v>4385</v>
      </c>
      <c r="C4386" t="s">
        <v>195</v>
      </c>
      <c r="D4386" t="s">
        <v>48</v>
      </c>
      <c r="E4386">
        <v>2018</v>
      </c>
      <c r="F4386" t="s">
        <v>45</v>
      </c>
      <c r="G4386" t="s">
        <v>21</v>
      </c>
      <c r="H4386" t="s">
        <v>15</v>
      </c>
      <c r="I4386" t="s">
        <v>46</v>
      </c>
      <c r="J4386">
        <v>0.123111453</v>
      </c>
      <c r="K4386"/>
      <c r="L4386" s="1">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s="1">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s="1">
        <v>194.511</v>
      </c>
      <c r="M4388">
        <v>3.7</v>
      </c>
    </row>
    <row r="4389" spans="1:13" x14ac:dyDescent="0.3">
      <c r="A4389" t="s">
        <v>17</v>
      </c>
      <c r="B4389">
        <v>4388</v>
      </c>
      <c r="C4389" t="s">
        <v>609</v>
      </c>
      <c r="D4389" t="s">
        <v>42</v>
      </c>
      <c r="E4389">
        <v>2018</v>
      </c>
      <c r="F4389" t="s">
        <v>45</v>
      </c>
      <c r="G4389" t="s">
        <v>21</v>
      </c>
      <c r="H4389" t="s">
        <v>15</v>
      </c>
      <c r="I4389" t="s">
        <v>46</v>
      </c>
      <c r="J4389">
        <v>2.8459761E-2</v>
      </c>
      <c r="K4389"/>
      <c r="L4389" s="1">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s="1">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s="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s="1">
        <v>178.23699999999999</v>
      </c>
      <c r="M4392">
        <v>3.7</v>
      </c>
    </row>
    <row r="4393" spans="1:13" x14ac:dyDescent="0.3">
      <c r="A4393" t="s">
        <v>17</v>
      </c>
      <c r="B4393">
        <v>4392</v>
      </c>
      <c r="C4393" t="s">
        <v>1020</v>
      </c>
      <c r="D4393" t="s">
        <v>12</v>
      </c>
      <c r="E4393">
        <v>2018</v>
      </c>
      <c r="F4393" t="s">
        <v>45</v>
      </c>
      <c r="G4393" t="s">
        <v>21</v>
      </c>
      <c r="H4393" t="s">
        <v>15</v>
      </c>
      <c r="I4393" t="s">
        <v>46</v>
      </c>
      <c r="J4393">
        <v>7.7367431E-2</v>
      </c>
      <c r="K4393"/>
      <c r="L4393" s="1">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K4394"/>
      <c r="L4394" s="1">
        <v>198.80840000000001</v>
      </c>
      <c r="M4394">
        <v>3.7</v>
      </c>
    </row>
    <row r="4395" spans="1:13" x14ac:dyDescent="0.3">
      <c r="A4395" t="s">
        <v>10</v>
      </c>
      <c r="B4395">
        <v>4394</v>
      </c>
      <c r="C4395" t="s">
        <v>1511</v>
      </c>
      <c r="D4395" t="s">
        <v>28</v>
      </c>
      <c r="E4395">
        <v>2018</v>
      </c>
      <c r="F4395" t="s">
        <v>45</v>
      </c>
      <c r="G4395" t="s">
        <v>21</v>
      </c>
      <c r="H4395" t="s">
        <v>15</v>
      </c>
      <c r="I4395" t="s">
        <v>46</v>
      </c>
      <c r="J4395">
        <v>0.101338651</v>
      </c>
      <c r="K4395"/>
      <c r="L4395" s="1">
        <v>232.63</v>
      </c>
      <c r="M4395">
        <v>3.7</v>
      </c>
    </row>
    <row r="4396" spans="1:13" x14ac:dyDescent="0.3">
      <c r="A4396" t="s">
        <v>10</v>
      </c>
      <c r="B4396">
        <v>4395</v>
      </c>
      <c r="C4396" t="s">
        <v>1097</v>
      </c>
      <c r="D4396" t="s">
        <v>48</v>
      </c>
      <c r="E4396">
        <v>2018</v>
      </c>
      <c r="F4396" t="s">
        <v>138</v>
      </c>
      <c r="G4396" t="s">
        <v>14</v>
      </c>
      <c r="H4396" t="s">
        <v>26</v>
      </c>
      <c r="I4396" t="s">
        <v>40</v>
      </c>
      <c r="J4396">
        <v>5.1643608000000001E-2</v>
      </c>
      <c r="K4396"/>
      <c r="L4396" s="1">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s="1">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s="1">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s="1">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s="1">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s="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s="1">
        <v>254.10400000000001</v>
      </c>
      <c r="M4402">
        <v>3.7</v>
      </c>
    </row>
    <row r="4403" spans="1:13" x14ac:dyDescent="0.3">
      <c r="A4403" t="s">
        <v>10</v>
      </c>
      <c r="B4403">
        <v>4402</v>
      </c>
      <c r="C4403" t="s">
        <v>1338</v>
      </c>
      <c r="D4403" t="s">
        <v>48</v>
      </c>
      <c r="E4403">
        <v>2018</v>
      </c>
      <c r="F4403" t="s">
        <v>45</v>
      </c>
      <c r="G4403" t="s">
        <v>21</v>
      </c>
      <c r="H4403" t="s">
        <v>15</v>
      </c>
      <c r="I4403" t="s">
        <v>46</v>
      </c>
      <c r="J4403">
        <v>0.116915909</v>
      </c>
      <c r="K4403"/>
      <c r="L4403" s="1">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s="1">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s="1">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s="1">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s="1">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s="1">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s="1">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s="1">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s="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s="1">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s="1">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s="1">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s="1">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s="1">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s="1">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s="1">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s="1">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s="1">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s="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s="1">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s="1">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s="1">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s="1">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s="1">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s="1">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s="1">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s="1">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s="1">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s="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s="1">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s="1">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K4434"/>
      <c r="L4434" s="1">
        <v>54.395600000000002</v>
      </c>
      <c r="M4434">
        <v>3.7</v>
      </c>
    </row>
    <row r="4435" spans="1:13" x14ac:dyDescent="0.3">
      <c r="A4435" t="s">
        <v>17</v>
      </c>
      <c r="B4435">
        <v>4434</v>
      </c>
      <c r="C4435" t="s">
        <v>83</v>
      </c>
      <c r="D4435" t="s">
        <v>12</v>
      </c>
      <c r="E4435">
        <v>2018</v>
      </c>
      <c r="F4435" t="s">
        <v>138</v>
      </c>
      <c r="G4435" t="s">
        <v>14</v>
      </c>
      <c r="H4435" t="s">
        <v>26</v>
      </c>
      <c r="I4435" t="s">
        <v>40</v>
      </c>
      <c r="J4435">
        <v>0.100493148</v>
      </c>
      <c r="K4435"/>
      <c r="L4435" s="1">
        <v>123.1046</v>
      </c>
      <c r="M4435">
        <v>3.7</v>
      </c>
    </row>
    <row r="4436" spans="1:13" x14ac:dyDescent="0.3">
      <c r="A4436" t="s">
        <v>17</v>
      </c>
      <c r="B4436">
        <v>4435</v>
      </c>
      <c r="C4436" t="s">
        <v>411</v>
      </c>
      <c r="D4436" t="s">
        <v>42</v>
      </c>
      <c r="E4436">
        <v>2018</v>
      </c>
      <c r="F4436" t="s">
        <v>138</v>
      </c>
      <c r="G4436" t="s">
        <v>14</v>
      </c>
      <c r="H4436" t="s">
        <v>26</v>
      </c>
      <c r="I4436" t="s">
        <v>40</v>
      </c>
      <c r="J4436">
        <v>0.16285659299999999</v>
      </c>
      <c r="K4436"/>
      <c r="L4436" s="1">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K4437"/>
      <c r="L4437" s="1">
        <v>120.5414</v>
      </c>
      <c r="M4437">
        <v>3.7</v>
      </c>
    </row>
    <row r="4438" spans="1:13" x14ac:dyDescent="0.3">
      <c r="A4438" t="s">
        <v>17</v>
      </c>
      <c r="B4438">
        <v>4437</v>
      </c>
      <c r="C4438" t="s">
        <v>1351</v>
      </c>
      <c r="D4438" t="s">
        <v>54</v>
      </c>
      <c r="E4438">
        <v>2018</v>
      </c>
      <c r="F4438" t="s">
        <v>138</v>
      </c>
      <c r="G4438" t="s">
        <v>14</v>
      </c>
      <c r="H4438" t="s">
        <v>26</v>
      </c>
      <c r="I4438" t="s">
        <v>40</v>
      </c>
      <c r="J4438">
        <v>1.5664229000000002E-2</v>
      </c>
      <c r="K4438"/>
      <c r="L4438" s="1">
        <v>122.2756</v>
      </c>
      <c r="M4438">
        <v>3.7</v>
      </c>
    </row>
    <row r="4439" spans="1:13" x14ac:dyDescent="0.3">
      <c r="A4439" t="s">
        <v>17</v>
      </c>
      <c r="B4439">
        <v>4438</v>
      </c>
      <c r="C4439" t="s">
        <v>861</v>
      </c>
      <c r="D4439" t="s">
        <v>54</v>
      </c>
      <c r="E4439">
        <v>2018</v>
      </c>
      <c r="F4439" t="s">
        <v>138</v>
      </c>
      <c r="G4439" t="s">
        <v>14</v>
      </c>
      <c r="H4439" t="s">
        <v>26</v>
      </c>
      <c r="I4439" t="s">
        <v>40</v>
      </c>
      <c r="J4439">
        <v>0.121554149</v>
      </c>
      <c r="K4439"/>
      <c r="L4439" s="1">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K4440"/>
      <c r="L4440" s="1">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K4441"/>
      <c r="L4441" s="1">
        <v>88.382999999999996</v>
      </c>
      <c r="M4441">
        <v>3.7</v>
      </c>
    </row>
    <row r="4442" spans="1:13" x14ac:dyDescent="0.3">
      <c r="A4442" t="s">
        <v>17</v>
      </c>
      <c r="B4442">
        <v>4441</v>
      </c>
      <c r="C4442" t="s">
        <v>247</v>
      </c>
      <c r="D4442" t="s">
        <v>48</v>
      </c>
      <c r="E4442">
        <v>2018</v>
      </c>
      <c r="F4442" t="s">
        <v>138</v>
      </c>
      <c r="G4442" t="s">
        <v>14</v>
      </c>
      <c r="H4442" t="s">
        <v>26</v>
      </c>
      <c r="I4442" t="s">
        <v>40</v>
      </c>
      <c r="J4442">
        <v>2.2074764E-2</v>
      </c>
      <c r="K4442"/>
      <c r="L4442" s="1">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K4443"/>
      <c r="L4443" s="1">
        <v>107.628</v>
      </c>
      <c r="M4443">
        <v>3.7</v>
      </c>
    </row>
    <row r="4444" spans="1:13" x14ac:dyDescent="0.3">
      <c r="A4444" t="s">
        <v>10</v>
      </c>
      <c r="B4444">
        <v>4443</v>
      </c>
      <c r="C4444" t="s">
        <v>1480</v>
      </c>
      <c r="D4444" t="s">
        <v>28</v>
      </c>
      <c r="E4444">
        <v>2018</v>
      </c>
      <c r="F4444" t="s">
        <v>138</v>
      </c>
      <c r="G4444" t="s">
        <v>14</v>
      </c>
      <c r="H4444" t="s">
        <v>26</v>
      </c>
      <c r="I4444" t="s">
        <v>40</v>
      </c>
      <c r="J4444">
        <v>9.3883944999999996E-2</v>
      </c>
      <c r="K4444"/>
      <c r="L4444" s="1">
        <v>200.4742</v>
      </c>
      <c r="M4444">
        <v>3.7</v>
      </c>
    </row>
    <row r="4445" spans="1:13" x14ac:dyDescent="0.3">
      <c r="A4445" t="s">
        <v>10</v>
      </c>
      <c r="B4445">
        <v>4444</v>
      </c>
      <c r="C4445" t="s">
        <v>775</v>
      </c>
      <c r="D4445" t="s">
        <v>28</v>
      </c>
      <c r="E4445">
        <v>2018</v>
      </c>
      <c r="F4445" t="s">
        <v>138</v>
      </c>
      <c r="G4445" t="s">
        <v>14</v>
      </c>
      <c r="H4445" t="s">
        <v>26</v>
      </c>
      <c r="I4445" t="s">
        <v>40</v>
      </c>
      <c r="J4445">
        <v>2.1002171E-2</v>
      </c>
      <c r="K4445"/>
      <c r="L4445" s="1">
        <v>185.19239999999999</v>
      </c>
      <c r="M4445">
        <v>3.7</v>
      </c>
    </row>
    <row r="4446" spans="1:13" x14ac:dyDescent="0.3">
      <c r="A4446" t="s">
        <v>10</v>
      </c>
      <c r="B4446">
        <v>4445</v>
      </c>
      <c r="C4446" t="s">
        <v>733</v>
      </c>
      <c r="D4446" t="s">
        <v>12</v>
      </c>
      <c r="E4446">
        <v>2018</v>
      </c>
      <c r="F4446" t="s">
        <v>138</v>
      </c>
      <c r="G4446" t="s">
        <v>14</v>
      </c>
      <c r="H4446" t="s">
        <v>26</v>
      </c>
      <c r="I4446" t="s">
        <v>40</v>
      </c>
      <c r="J4446">
        <v>0.135375727</v>
      </c>
      <c r="K4446"/>
      <c r="L4446" s="1">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s="1">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s="1">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s="1">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s="1">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s="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s="1">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s="1">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s="1">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s="1">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s="1">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s="1">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s="1">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s="1">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s="1">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s="1">
        <v>157.892</v>
      </c>
      <c r="M4461">
        <v>3.7</v>
      </c>
    </row>
    <row r="4462" spans="1:13" x14ac:dyDescent="0.3">
      <c r="A4462" t="s">
        <v>17</v>
      </c>
      <c r="B4462">
        <v>4461</v>
      </c>
      <c r="C4462" t="s">
        <v>989</v>
      </c>
      <c r="D4462" t="s">
        <v>12</v>
      </c>
      <c r="E4462">
        <v>2020</v>
      </c>
      <c r="F4462" t="s">
        <v>37</v>
      </c>
      <c r="G4462" t="s">
        <v>34</v>
      </c>
      <c r="H4462" t="s">
        <v>15</v>
      </c>
      <c r="I4462" t="s">
        <v>16</v>
      </c>
      <c r="J4462">
        <v>0</v>
      </c>
      <c r="K4462">
        <v>14</v>
      </c>
      <c r="L4462" s="1">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s="1">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s="1">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s="1">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s="1">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s="1">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s="1">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s="1">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s="1">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s="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s="1">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s="1">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s="1">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s="1">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s="1">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s="1">
        <v>121.444</v>
      </c>
      <c r="M4477">
        <v>3.7</v>
      </c>
    </row>
    <row r="4478" spans="1:13" x14ac:dyDescent="0.3">
      <c r="A4478" t="s">
        <v>17</v>
      </c>
      <c r="B4478">
        <v>4477</v>
      </c>
      <c r="C4478" t="s">
        <v>995</v>
      </c>
      <c r="D4478" t="s">
        <v>42</v>
      </c>
      <c r="E4478">
        <v>2020</v>
      </c>
      <c r="F4478" t="s">
        <v>37</v>
      </c>
      <c r="G4478" t="s">
        <v>34</v>
      </c>
      <c r="H4478" t="s">
        <v>26</v>
      </c>
      <c r="I4478" t="s">
        <v>16</v>
      </c>
      <c r="J4478">
        <v>0</v>
      </c>
      <c r="K4478">
        <v>6.59</v>
      </c>
      <c r="L4478" s="1">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s="1">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s="1">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s="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s="1">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s="1">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s="1">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s="1">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s="1">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s="1">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s="1">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s="1">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s="1">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s="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s="1">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s="1">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s="1">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s="1">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s="1">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s="1">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s="1">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s="1">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s="1">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s="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s="1">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s="1">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s="1">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s="1">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s="1">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s="1">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s="1">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s="1">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s="1">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s="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s="1">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s="1">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s="1">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s="1">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s="1">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s="1">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s="1">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s="1">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s="1">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s="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s="1">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s="1">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s="1">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s="1">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s="1">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s="1">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s="1">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s="1">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s="1">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s="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s="1">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s="1">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s="1">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s="1">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s="1">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s="1">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s="1">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s="1">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s="1">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s="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s="1">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s="1">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s="1">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s="1">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s="1">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s="1">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s="1">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s="1">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s="1">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s="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s="1">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s="1">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s="1">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s="1">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s="1">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s="1">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s="1">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s="1">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s="1">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s="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s="1">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s="1">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s="1">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s="1">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s="1">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s="1">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s="1">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s="1">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s="1">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s="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s="1">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s="1">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s="1">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s="1">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s="1">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s="1">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K4578"/>
      <c r="L4578" s="1">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K4579"/>
      <c r="L4579" s="1">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K4580"/>
      <c r="L4580" s="1">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K4581"/>
      <c r="L4581" s="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K4582"/>
      <c r="L4582" s="1">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K4583"/>
      <c r="L4583" s="1">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K4584"/>
      <c r="L4584" s="1">
        <v>120.044</v>
      </c>
      <c r="M4584">
        <v>3.7</v>
      </c>
    </row>
    <row r="4585" spans="1:13" x14ac:dyDescent="0.3">
      <c r="A4585" t="s">
        <v>17</v>
      </c>
      <c r="B4585">
        <v>4584</v>
      </c>
      <c r="C4585" t="s">
        <v>1002</v>
      </c>
      <c r="D4585" t="s">
        <v>48</v>
      </c>
      <c r="E4585">
        <v>2018</v>
      </c>
      <c r="F4585" t="s">
        <v>45</v>
      </c>
      <c r="G4585" t="s">
        <v>21</v>
      </c>
      <c r="H4585" t="s">
        <v>15</v>
      </c>
      <c r="I4585" t="s">
        <v>46</v>
      </c>
      <c r="J4585">
        <v>7.5603698999999996E-2</v>
      </c>
      <c r="K4585"/>
      <c r="L4585" s="1">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K4586"/>
      <c r="L4586" s="1">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K4587"/>
      <c r="L4587" s="1">
        <v>173.1422</v>
      </c>
      <c r="M4587">
        <v>3.7</v>
      </c>
    </row>
    <row r="4588" spans="1:13" x14ac:dyDescent="0.3">
      <c r="A4588" t="s">
        <v>10</v>
      </c>
      <c r="B4588">
        <v>4587</v>
      </c>
      <c r="C4588" t="s">
        <v>135</v>
      </c>
      <c r="D4588" t="s">
        <v>95</v>
      </c>
      <c r="E4588">
        <v>2018</v>
      </c>
      <c r="F4588" t="s">
        <v>45</v>
      </c>
      <c r="G4588" t="s">
        <v>21</v>
      </c>
      <c r="H4588" t="s">
        <v>15</v>
      </c>
      <c r="I4588" t="s">
        <v>46</v>
      </c>
      <c r="J4588">
        <v>0</v>
      </c>
      <c r="K4588"/>
      <c r="L4588" s="1">
        <v>75.9328</v>
      </c>
      <c r="M4588">
        <v>3.7</v>
      </c>
    </row>
    <row r="4589" spans="1:13" x14ac:dyDescent="0.3">
      <c r="A4589" t="s">
        <v>10</v>
      </c>
      <c r="B4589">
        <v>4588</v>
      </c>
      <c r="C4589" t="s">
        <v>1379</v>
      </c>
      <c r="D4589" t="s">
        <v>57</v>
      </c>
      <c r="E4589">
        <v>2018</v>
      </c>
      <c r="F4589" t="s">
        <v>45</v>
      </c>
      <c r="G4589" t="s">
        <v>21</v>
      </c>
      <c r="H4589" t="s">
        <v>15</v>
      </c>
      <c r="I4589" t="s">
        <v>46</v>
      </c>
      <c r="J4589">
        <v>2.4390149999999999E-2</v>
      </c>
      <c r="K4589"/>
      <c r="L4589" s="1">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K4590"/>
      <c r="L4590" s="1">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K4591"/>
      <c r="L4591" s="1">
        <v>60.553600000000003</v>
      </c>
      <c r="M4591">
        <v>3.7</v>
      </c>
    </row>
    <row r="4592" spans="1:13" x14ac:dyDescent="0.3">
      <c r="A4592" t="s">
        <v>10</v>
      </c>
      <c r="B4592">
        <v>4591</v>
      </c>
      <c r="C4592" t="s">
        <v>462</v>
      </c>
      <c r="D4592" t="s">
        <v>48</v>
      </c>
      <c r="E4592">
        <v>2018</v>
      </c>
      <c r="F4592" t="s">
        <v>45</v>
      </c>
      <c r="G4592" t="s">
        <v>21</v>
      </c>
      <c r="H4592" t="s">
        <v>15</v>
      </c>
      <c r="I4592" t="s">
        <v>46</v>
      </c>
      <c r="J4592">
        <v>1.0864186E-2</v>
      </c>
      <c r="K4592"/>
      <c r="L4592" s="1">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K4593"/>
      <c r="L4593" s="1">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K4594"/>
      <c r="L4594" s="1">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s="1">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s="1">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s="1">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s="1">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s="1">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s="1">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K4601"/>
      <c r="L4601" s="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K4602"/>
      <c r="L4602" s="1">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s="1">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s="1">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s="1">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s="1">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s="1">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s="1">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s="1">
        <v>95.275199999999998</v>
      </c>
      <c r="M4609">
        <v>3.6</v>
      </c>
    </row>
    <row r="4610" spans="1:13" x14ac:dyDescent="0.3">
      <c r="A4610" t="s">
        <v>10</v>
      </c>
      <c r="B4610">
        <v>4609</v>
      </c>
      <c r="C4610" t="s">
        <v>487</v>
      </c>
      <c r="D4610" t="s">
        <v>48</v>
      </c>
      <c r="E4610">
        <v>2018</v>
      </c>
      <c r="F4610" t="s">
        <v>45</v>
      </c>
      <c r="G4610" t="s">
        <v>21</v>
      </c>
      <c r="H4610" t="s">
        <v>15</v>
      </c>
      <c r="I4610" t="s">
        <v>46</v>
      </c>
      <c r="J4610">
        <v>0.122830885</v>
      </c>
      <c r="K4610"/>
      <c r="L4610" s="1">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s="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s="1">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s="1">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s="1">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s="1">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s="1">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s="1">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s="1">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s="1">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s="1">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s="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K4622"/>
      <c r="L4622" s="1">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K4623"/>
      <c r="L4623" s="1">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K4624"/>
      <c r="L4624" s="1">
        <v>153.934</v>
      </c>
      <c r="M4624">
        <v>3.6</v>
      </c>
    </row>
    <row r="4625" spans="1:13" x14ac:dyDescent="0.3">
      <c r="A4625" t="s">
        <v>17</v>
      </c>
      <c r="B4625">
        <v>4624</v>
      </c>
      <c r="C4625" t="s">
        <v>246</v>
      </c>
      <c r="D4625" t="s">
        <v>48</v>
      </c>
      <c r="E4625">
        <v>2018</v>
      </c>
      <c r="F4625" t="s">
        <v>138</v>
      </c>
      <c r="G4625" t="s">
        <v>14</v>
      </c>
      <c r="H4625" t="s">
        <v>26</v>
      </c>
      <c r="I4625" t="s">
        <v>40</v>
      </c>
      <c r="J4625">
        <v>0.160665697</v>
      </c>
      <c r="K4625"/>
      <c r="L4625" s="1">
        <v>227.5352</v>
      </c>
      <c r="M4625">
        <v>3.6</v>
      </c>
    </row>
    <row r="4626" spans="1:13" x14ac:dyDescent="0.3">
      <c r="A4626" t="s">
        <v>17</v>
      </c>
      <c r="B4626">
        <v>4625</v>
      </c>
      <c r="C4626" t="s">
        <v>1355</v>
      </c>
      <c r="D4626" t="s">
        <v>48</v>
      </c>
      <c r="E4626">
        <v>2018</v>
      </c>
      <c r="F4626" t="s">
        <v>138</v>
      </c>
      <c r="G4626" t="s">
        <v>14</v>
      </c>
      <c r="H4626" t="s">
        <v>26</v>
      </c>
      <c r="I4626" t="s">
        <v>40</v>
      </c>
      <c r="J4626">
        <v>5.3939315000000002E-2</v>
      </c>
      <c r="K4626"/>
      <c r="L4626" s="1">
        <v>52.1008</v>
      </c>
      <c r="M4626">
        <v>3.6</v>
      </c>
    </row>
    <row r="4627" spans="1:13" x14ac:dyDescent="0.3">
      <c r="A4627" t="s">
        <v>10</v>
      </c>
      <c r="B4627">
        <v>4626</v>
      </c>
      <c r="C4627" t="s">
        <v>1176</v>
      </c>
      <c r="D4627" t="s">
        <v>28</v>
      </c>
      <c r="E4627">
        <v>2018</v>
      </c>
      <c r="F4627" t="s">
        <v>138</v>
      </c>
      <c r="G4627" t="s">
        <v>14</v>
      </c>
      <c r="H4627" t="s">
        <v>26</v>
      </c>
      <c r="I4627" t="s">
        <v>40</v>
      </c>
      <c r="J4627">
        <v>0.23518320500000001</v>
      </c>
      <c r="K4627"/>
      <c r="L4627" s="1">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K4628"/>
      <c r="L4628" s="1">
        <v>230.5352</v>
      </c>
      <c r="M4628">
        <v>3.6</v>
      </c>
    </row>
    <row r="4629" spans="1:13" x14ac:dyDescent="0.3">
      <c r="A4629" t="s">
        <v>10</v>
      </c>
      <c r="B4629">
        <v>4628</v>
      </c>
      <c r="C4629" t="s">
        <v>262</v>
      </c>
      <c r="D4629" t="s">
        <v>48</v>
      </c>
      <c r="E4629">
        <v>2018</v>
      </c>
      <c r="F4629" t="s">
        <v>138</v>
      </c>
      <c r="G4629" t="s">
        <v>14</v>
      </c>
      <c r="H4629" t="s">
        <v>26</v>
      </c>
      <c r="I4629" t="s">
        <v>40</v>
      </c>
      <c r="J4629">
        <v>0</v>
      </c>
      <c r="K4629"/>
      <c r="L4629" s="1">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s="1">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s="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s="1">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s="1">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s="1">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s="1">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s="1">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s="1">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s="1">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s="1">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s="1">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s="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s="1">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s="1">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s="1">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s="1">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s="1">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s="1">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s="1">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s="1">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s="1">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s="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s="1">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s="1">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s="1">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s="1">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s="1">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s="1">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s="1">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s="1">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s="1">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s="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s="1">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s="1">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s="1">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s="1">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s="1">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s="1">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s="1">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s="1">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s="1">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s="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s="1">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s="1">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s="1">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s="1">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s="1">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s="1">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s="1">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s="1">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s="1">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s="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s="1">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s="1">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s="1">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s="1">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s="1">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s="1">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s="1">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s="1">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s="1">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s="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s="1">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s="1">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s="1">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s="1">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s="1">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s="1">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s="1">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s="1">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s="1">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s="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s="1">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s="1">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s="1">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s="1">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s="1">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s="1">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s="1">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s="1">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s="1">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s="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s="1">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s="1">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s="1">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s="1">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s="1">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s="1">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s="1">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s="1">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s="1">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s="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s="1">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s="1">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s="1">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s="1">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s="1">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s="1">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s="1">
        <v>231.46680000000001</v>
      </c>
      <c r="M4728">
        <v>3.6</v>
      </c>
    </row>
    <row r="4729" spans="1:13" x14ac:dyDescent="0.3">
      <c r="A4729" t="s">
        <v>17</v>
      </c>
      <c r="B4729">
        <v>4728</v>
      </c>
      <c r="C4729" t="s">
        <v>502</v>
      </c>
      <c r="D4729" t="s">
        <v>67</v>
      </c>
      <c r="E4729">
        <v>2018</v>
      </c>
      <c r="F4729" t="s">
        <v>45</v>
      </c>
      <c r="G4729" t="s">
        <v>21</v>
      </c>
      <c r="H4729" t="s">
        <v>15</v>
      </c>
      <c r="I4729" t="s">
        <v>46</v>
      </c>
      <c r="J4729">
        <v>0</v>
      </c>
      <c r="K4729"/>
      <c r="L4729" s="1">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K4730"/>
      <c r="L4730" s="1">
        <v>192.9504</v>
      </c>
      <c r="M4730">
        <v>3.6</v>
      </c>
    </row>
    <row r="4731" spans="1:13" x14ac:dyDescent="0.3">
      <c r="A4731" t="s">
        <v>17</v>
      </c>
      <c r="B4731">
        <v>4730</v>
      </c>
      <c r="C4731" t="s">
        <v>1129</v>
      </c>
      <c r="D4731" t="s">
        <v>12</v>
      </c>
      <c r="E4731">
        <v>2018</v>
      </c>
      <c r="F4731" t="s">
        <v>45</v>
      </c>
      <c r="G4731" t="s">
        <v>21</v>
      </c>
      <c r="H4731" t="s">
        <v>15</v>
      </c>
      <c r="I4731" t="s">
        <v>46</v>
      </c>
      <c r="J4731">
        <v>2.3339367E-2</v>
      </c>
      <c r="K4731"/>
      <c r="L4731" s="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K4732"/>
      <c r="L4732" s="1">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K4733"/>
      <c r="L4733" s="1">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K4734"/>
      <c r="L4734" s="1">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K4735"/>
      <c r="L4735" s="1">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K4736"/>
      <c r="L4736" s="1">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K4737"/>
      <c r="L4737" s="1">
        <v>46.803400000000003</v>
      </c>
      <c r="M4737">
        <v>3.6</v>
      </c>
    </row>
    <row r="4738" spans="1:13" x14ac:dyDescent="0.3">
      <c r="A4738" t="s">
        <v>10</v>
      </c>
      <c r="B4738">
        <v>4737</v>
      </c>
      <c r="C4738" t="s">
        <v>124</v>
      </c>
      <c r="D4738" t="s">
        <v>67</v>
      </c>
      <c r="E4738">
        <v>2018</v>
      </c>
      <c r="F4738" t="s">
        <v>45</v>
      </c>
      <c r="G4738" t="s">
        <v>21</v>
      </c>
      <c r="H4738" t="s">
        <v>15</v>
      </c>
      <c r="I4738" t="s">
        <v>46</v>
      </c>
      <c r="J4738">
        <v>2.9578726E-2</v>
      </c>
      <c r="K4738"/>
      <c r="L4738" s="1">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K4739"/>
      <c r="L4739" s="1">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K4740"/>
      <c r="L4740" s="1">
        <v>103.499</v>
      </c>
      <c r="M4740">
        <v>3.6</v>
      </c>
    </row>
    <row r="4741" spans="1:13" x14ac:dyDescent="0.3">
      <c r="A4741" t="s">
        <v>10</v>
      </c>
      <c r="B4741">
        <v>4740</v>
      </c>
      <c r="C4741" t="s">
        <v>838</v>
      </c>
      <c r="D4741" t="s">
        <v>48</v>
      </c>
      <c r="E4741">
        <v>2018</v>
      </c>
      <c r="F4741" t="s">
        <v>45</v>
      </c>
      <c r="G4741" t="s">
        <v>21</v>
      </c>
      <c r="H4741" t="s">
        <v>15</v>
      </c>
      <c r="I4741" t="s">
        <v>46</v>
      </c>
      <c r="J4741">
        <v>5.6328717E-2</v>
      </c>
      <c r="K4741"/>
      <c r="L4741" s="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K4742"/>
      <c r="L4742" s="1">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K4743"/>
      <c r="L4743" s="1">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K4744"/>
      <c r="L4744" s="1">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s="1">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s="1">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s="1">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s="1">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s="1">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s="1">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s="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s="1">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s="1">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s="1">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s="1">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s="1">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s="1">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s="1">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s="1">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s="1">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s="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s="1">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s="1">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s="1">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s="1">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s="1">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s="1">
        <v>128.1652</v>
      </c>
      <c r="M4767">
        <v>3.5</v>
      </c>
    </row>
    <row r="4768" spans="1:13" x14ac:dyDescent="0.3">
      <c r="A4768" t="s">
        <v>10</v>
      </c>
      <c r="B4768">
        <v>4767</v>
      </c>
      <c r="C4768" t="s">
        <v>357</v>
      </c>
      <c r="D4768" t="s">
        <v>28</v>
      </c>
      <c r="E4768">
        <v>2018</v>
      </c>
      <c r="F4768" t="s">
        <v>138</v>
      </c>
      <c r="G4768" t="s">
        <v>14</v>
      </c>
      <c r="H4768" t="s">
        <v>26</v>
      </c>
      <c r="I4768" t="s">
        <v>40</v>
      </c>
      <c r="J4768">
        <v>2.5795769999999999E-2</v>
      </c>
      <c r="K4768"/>
      <c r="L4768" s="1">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s="1">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s="1">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s="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s="1">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s="1">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s="1">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s="1">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s="1">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s="1">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s="1">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s="1">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s="1">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s="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s="1">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s="1">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s="1">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K4785"/>
      <c r="L4785" s="1">
        <v>59.3536</v>
      </c>
      <c r="M4785">
        <v>3.5</v>
      </c>
    </row>
    <row r="4786" spans="1:13" x14ac:dyDescent="0.3">
      <c r="A4786" t="s">
        <v>17</v>
      </c>
      <c r="B4786">
        <v>4785</v>
      </c>
      <c r="C4786" t="s">
        <v>79</v>
      </c>
      <c r="D4786" t="s">
        <v>48</v>
      </c>
      <c r="E4786">
        <v>2018</v>
      </c>
      <c r="F4786" t="s">
        <v>138</v>
      </c>
      <c r="G4786" t="s">
        <v>14</v>
      </c>
      <c r="H4786" t="s">
        <v>26</v>
      </c>
      <c r="I4786" t="s">
        <v>40</v>
      </c>
      <c r="J4786">
        <v>4.4122209000000003E-2</v>
      </c>
      <c r="K4786"/>
      <c r="L4786" s="1">
        <v>173.80539999999999</v>
      </c>
      <c r="M4786">
        <v>3.5</v>
      </c>
    </row>
    <row r="4787" spans="1:13" x14ac:dyDescent="0.3">
      <c r="A4787" t="s">
        <v>10</v>
      </c>
      <c r="B4787">
        <v>4786</v>
      </c>
      <c r="C4787" t="s">
        <v>885</v>
      </c>
      <c r="D4787" t="s">
        <v>54</v>
      </c>
      <c r="E4787">
        <v>2018</v>
      </c>
      <c r="F4787" t="s">
        <v>138</v>
      </c>
      <c r="G4787" t="s">
        <v>14</v>
      </c>
      <c r="H4787" t="s">
        <v>26</v>
      </c>
      <c r="I4787" t="s">
        <v>40</v>
      </c>
      <c r="J4787">
        <v>0</v>
      </c>
      <c r="K4787"/>
      <c r="L4787" s="1">
        <v>98.2042</v>
      </c>
      <c r="M4787">
        <v>3.5</v>
      </c>
    </row>
    <row r="4788" spans="1:13" x14ac:dyDescent="0.3">
      <c r="A4788" t="s">
        <v>10</v>
      </c>
      <c r="B4788">
        <v>4787</v>
      </c>
      <c r="C4788" t="s">
        <v>1496</v>
      </c>
      <c r="D4788" t="s">
        <v>32</v>
      </c>
      <c r="E4788">
        <v>2018</v>
      </c>
      <c r="F4788" t="s">
        <v>138</v>
      </c>
      <c r="G4788" t="s">
        <v>14</v>
      </c>
      <c r="H4788" t="s">
        <v>26</v>
      </c>
      <c r="I4788" t="s">
        <v>40</v>
      </c>
      <c r="J4788">
        <v>6.9909187999999997E-2</v>
      </c>
      <c r="K4788"/>
      <c r="L4788" s="1">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s="1">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s="1">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s="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s="1">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s="1">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s="1">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s="1">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s="1">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s="1">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s="1">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s="1">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s="1">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s="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s="1">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s="1">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s="1">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s="1">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s="1">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s="1">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s="1">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s="1">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s="1">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s="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s="1">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s="1">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s="1">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s="1">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s="1">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s="1">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s="1">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s="1">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s="1">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s="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s="1">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s="1">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s="1">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s="1">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s="1">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s="1">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s="1">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s="1">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s="1">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s="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s="1">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s="1">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s="1">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s="1">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s="1">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s="1">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s="1">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s="1">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s="1">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s="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s="1">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s="1">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s="1">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s="1">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s="1">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s="1">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s="1">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s="1">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s="1">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s="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s="1">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s="1">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s="1">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s="1">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s="1">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s="1">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s="1">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s="1">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s="1">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s="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s="1">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s="1">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s="1">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s="1">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s="1">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s="1">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s="1">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s="1">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s="1">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s="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s="1">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s="1">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s="1">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s="1">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s="1">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s="1">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s="1">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s="1">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s="1">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s="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s="1">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s="1">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s="1">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s="1">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s="1">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s="1">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s="1">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s="1">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s="1">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s="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s="1">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s="1">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s="1">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s="1">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s="1">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s="1">
        <v>130.5626</v>
      </c>
      <c r="M4897">
        <v>3.5</v>
      </c>
    </row>
    <row r="4898" spans="1:13" x14ac:dyDescent="0.3">
      <c r="A4898" t="s">
        <v>17</v>
      </c>
      <c r="B4898">
        <v>4897</v>
      </c>
      <c r="C4898" t="s">
        <v>874</v>
      </c>
      <c r="D4898" t="s">
        <v>57</v>
      </c>
      <c r="E4898">
        <v>2018</v>
      </c>
      <c r="F4898" t="s">
        <v>45</v>
      </c>
      <c r="G4898" t="s">
        <v>21</v>
      </c>
      <c r="H4898" t="s">
        <v>15</v>
      </c>
      <c r="I4898" t="s">
        <v>46</v>
      </c>
      <c r="J4898">
        <v>0.105324246</v>
      </c>
      <c r="K4898"/>
      <c r="L4898" s="1">
        <v>125.7046</v>
      </c>
      <c r="M4898">
        <v>3.5</v>
      </c>
    </row>
    <row r="4899" spans="1:13" x14ac:dyDescent="0.3">
      <c r="A4899" t="s">
        <v>17</v>
      </c>
      <c r="B4899">
        <v>4898</v>
      </c>
      <c r="C4899" t="s">
        <v>1260</v>
      </c>
      <c r="D4899" t="s">
        <v>28</v>
      </c>
      <c r="E4899">
        <v>2018</v>
      </c>
      <c r="F4899" t="s">
        <v>45</v>
      </c>
      <c r="G4899" t="s">
        <v>21</v>
      </c>
      <c r="H4899" t="s">
        <v>15</v>
      </c>
      <c r="I4899" t="s">
        <v>46</v>
      </c>
      <c r="J4899">
        <v>4.7551568000000002E-2</v>
      </c>
      <c r="K4899"/>
      <c r="L4899" s="1">
        <v>249.10919999999999</v>
      </c>
      <c r="M4899">
        <v>3.5</v>
      </c>
    </row>
    <row r="4900" spans="1:13" x14ac:dyDescent="0.3">
      <c r="A4900" t="s">
        <v>17</v>
      </c>
      <c r="B4900">
        <v>4899</v>
      </c>
      <c r="C4900" t="s">
        <v>827</v>
      </c>
      <c r="D4900" t="s">
        <v>67</v>
      </c>
      <c r="E4900">
        <v>2018</v>
      </c>
      <c r="F4900" t="s">
        <v>45</v>
      </c>
      <c r="G4900" t="s">
        <v>21</v>
      </c>
      <c r="H4900" t="s">
        <v>15</v>
      </c>
      <c r="I4900" t="s">
        <v>46</v>
      </c>
      <c r="J4900">
        <v>0.119371835</v>
      </c>
      <c r="K4900"/>
      <c r="L4900" s="1">
        <v>45.2744</v>
      </c>
      <c r="M4900">
        <v>3.5</v>
      </c>
    </row>
    <row r="4901" spans="1:13" x14ac:dyDescent="0.3">
      <c r="A4901" t="s">
        <v>17</v>
      </c>
      <c r="B4901">
        <v>4900</v>
      </c>
      <c r="C4901" t="s">
        <v>1105</v>
      </c>
      <c r="D4901" t="s">
        <v>67</v>
      </c>
      <c r="E4901">
        <v>2018</v>
      </c>
      <c r="F4901" t="s">
        <v>45</v>
      </c>
      <c r="G4901" t="s">
        <v>21</v>
      </c>
      <c r="H4901" t="s">
        <v>15</v>
      </c>
      <c r="I4901" t="s">
        <v>46</v>
      </c>
      <c r="J4901">
        <v>0.13032165200000001</v>
      </c>
      <c r="K4901"/>
      <c r="L4901" s="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K4902"/>
      <c r="L4902" s="1">
        <v>39.650599999999997</v>
      </c>
      <c r="M4902">
        <v>3.5</v>
      </c>
    </row>
    <row r="4903" spans="1:13" x14ac:dyDescent="0.3">
      <c r="A4903" t="s">
        <v>17</v>
      </c>
      <c r="B4903">
        <v>4902</v>
      </c>
      <c r="C4903" t="s">
        <v>1576</v>
      </c>
      <c r="D4903" t="s">
        <v>12</v>
      </c>
      <c r="E4903">
        <v>2018</v>
      </c>
      <c r="F4903" t="s">
        <v>45</v>
      </c>
      <c r="G4903" t="s">
        <v>21</v>
      </c>
      <c r="H4903" t="s">
        <v>15</v>
      </c>
      <c r="I4903" t="s">
        <v>46</v>
      </c>
      <c r="J4903">
        <v>0</v>
      </c>
      <c r="K4903"/>
      <c r="L4903" s="1">
        <v>55.729799999999997</v>
      </c>
      <c r="M4903">
        <v>3.5</v>
      </c>
    </row>
    <row r="4904" spans="1:13" x14ac:dyDescent="0.3">
      <c r="A4904" t="s">
        <v>17</v>
      </c>
      <c r="B4904">
        <v>4903</v>
      </c>
      <c r="C4904" t="s">
        <v>1279</v>
      </c>
      <c r="D4904" t="s">
        <v>12</v>
      </c>
      <c r="E4904">
        <v>2018</v>
      </c>
      <c r="F4904" t="s">
        <v>45</v>
      </c>
      <c r="G4904" t="s">
        <v>21</v>
      </c>
      <c r="H4904" t="s">
        <v>15</v>
      </c>
      <c r="I4904" t="s">
        <v>46</v>
      </c>
      <c r="J4904">
        <v>1.2215675E-2</v>
      </c>
      <c r="K4904"/>
      <c r="L4904" s="1">
        <v>162.7894</v>
      </c>
      <c r="M4904">
        <v>3.5</v>
      </c>
    </row>
    <row r="4905" spans="1:13" x14ac:dyDescent="0.3">
      <c r="A4905" t="s">
        <v>17</v>
      </c>
      <c r="B4905">
        <v>4904</v>
      </c>
      <c r="C4905" t="s">
        <v>1039</v>
      </c>
      <c r="D4905" t="s">
        <v>19</v>
      </c>
      <c r="E4905">
        <v>2018</v>
      </c>
      <c r="F4905" t="s">
        <v>45</v>
      </c>
      <c r="G4905" t="s">
        <v>21</v>
      </c>
      <c r="H4905" t="s">
        <v>15</v>
      </c>
      <c r="I4905" t="s">
        <v>46</v>
      </c>
      <c r="J4905">
        <v>1.8757586E-2</v>
      </c>
      <c r="K4905"/>
      <c r="L4905" s="1">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K4906"/>
      <c r="L4906" s="1">
        <v>144.476</v>
      </c>
      <c r="M4906">
        <v>3.5</v>
      </c>
    </row>
    <row r="4907" spans="1:13" x14ac:dyDescent="0.3">
      <c r="A4907" t="s">
        <v>17</v>
      </c>
      <c r="B4907">
        <v>4906</v>
      </c>
      <c r="C4907" t="s">
        <v>1135</v>
      </c>
      <c r="D4907" t="s">
        <v>42</v>
      </c>
      <c r="E4907">
        <v>2018</v>
      </c>
      <c r="F4907" t="s">
        <v>45</v>
      </c>
      <c r="G4907" t="s">
        <v>21</v>
      </c>
      <c r="H4907" t="s">
        <v>15</v>
      </c>
      <c r="I4907" t="s">
        <v>46</v>
      </c>
      <c r="J4907">
        <v>2.4213353999999999E-2</v>
      </c>
      <c r="K4907"/>
      <c r="L4907" s="1">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K4908"/>
      <c r="L4908" s="1">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K4909"/>
      <c r="L4909" s="1">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K4910"/>
      <c r="L4910" s="1">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K4911"/>
      <c r="L4911" s="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K4912"/>
      <c r="L4912" s="1">
        <v>177.03700000000001</v>
      </c>
      <c r="M4912">
        <v>3.5</v>
      </c>
    </row>
    <row r="4913" spans="1:13" x14ac:dyDescent="0.3">
      <c r="A4913" t="s">
        <v>10</v>
      </c>
      <c r="B4913">
        <v>4912</v>
      </c>
      <c r="C4913" t="s">
        <v>1577</v>
      </c>
      <c r="D4913" t="s">
        <v>67</v>
      </c>
      <c r="E4913">
        <v>2018</v>
      </c>
      <c r="F4913" t="s">
        <v>45</v>
      </c>
      <c r="G4913" t="s">
        <v>21</v>
      </c>
      <c r="H4913" t="s">
        <v>15</v>
      </c>
      <c r="I4913" t="s">
        <v>46</v>
      </c>
      <c r="J4913">
        <v>0</v>
      </c>
      <c r="K4913"/>
      <c r="L4913" s="1">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K4914"/>
      <c r="L4914" s="1">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K4915"/>
      <c r="L4915" s="1">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s="1">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s="1">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s="1">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s="1">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s="1">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s="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s="1">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s="1">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s="1">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s="1">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s="1">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s="1">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s="1">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s="1">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s="1">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s="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s="1">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K4933"/>
      <c r="L4933" s="1">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K4934"/>
      <c r="L4934" s="1">
        <v>159.45779999999999</v>
      </c>
      <c r="M4934">
        <v>3.4</v>
      </c>
    </row>
    <row r="4935" spans="1:13" x14ac:dyDescent="0.3">
      <c r="A4935" t="s">
        <v>10</v>
      </c>
      <c r="B4935">
        <v>4934</v>
      </c>
      <c r="C4935" t="s">
        <v>1057</v>
      </c>
      <c r="D4935" t="s">
        <v>48</v>
      </c>
      <c r="E4935">
        <v>2018</v>
      </c>
      <c r="F4935" t="s">
        <v>138</v>
      </c>
      <c r="G4935" t="s">
        <v>14</v>
      </c>
      <c r="H4935" t="s">
        <v>26</v>
      </c>
      <c r="I4935" t="s">
        <v>40</v>
      </c>
      <c r="J4935">
        <v>6.216667E-2</v>
      </c>
      <c r="K4935"/>
      <c r="L4935" s="1">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s="1">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s="1">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s="1">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s="1">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s="1">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s="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s="1">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s="1">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s="1">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s="1">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s="1">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s="1">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s="1">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s="1">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s="1">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s="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s="1">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s="1">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s="1">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s="1">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s="1">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s="1">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s="1">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s="1">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s="1">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s="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s="1">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s="1">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s="1">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s="1">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s="1">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s="1">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s="1">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s="1">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s="1">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s="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s="1">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s="1">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s="1">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s="1">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s="1">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s="1">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s="1">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s="1">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s="1">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s="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s="1">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s="1">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s="1">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s="1">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s="1">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s="1">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s="1">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s="1">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s="1">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s="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s="1">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s="1">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s="1">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K4995"/>
      <c r="L4995" s="1">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K4996"/>
      <c r="L4996" s="1">
        <v>48.637599999999999</v>
      </c>
      <c r="M4996">
        <v>3.4</v>
      </c>
    </row>
    <row r="4997" spans="1:13" x14ac:dyDescent="0.3">
      <c r="A4997" t="s">
        <v>17</v>
      </c>
      <c r="B4997">
        <v>4996</v>
      </c>
      <c r="C4997" t="s">
        <v>1251</v>
      </c>
      <c r="D4997" t="s">
        <v>54</v>
      </c>
      <c r="E4997">
        <v>2018</v>
      </c>
      <c r="F4997" t="s">
        <v>45</v>
      </c>
      <c r="G4997" t="s">
        <v>21</v>
      </c>
      <c r="H4997" t="s">
        <v>15</v>
      </c>
      <c r="I4997" t="s">
        <v>46</v>
      </c>
      <c r="J4997">
        <v>3.7712875E-2</v>
      </c>
      <c r="K4997"/>
      <c r="L4997" s="1">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K4998"/>
      <c r="L4998" s="1">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s="1">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s="1">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K5001"/>
      <c r="L5001" s="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s="1">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s="1">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s="1">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s="1">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s="1">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s="1">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s="1">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K5009"/>
      <c r="L5009" s="1">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s="1">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K5011"/>
      <c r="L5011" s="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s="1">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s="1">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s="1">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s="1">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s="1">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s="1">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s="1">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s="1">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s="1">
        <v>62.319400000000002</v>
      </c>
      <c r="M5020">
        <v>3.3</v>
      </c>
    </row>
    <row r="5021" spans="1:13" x14ac:dyDescent="0.3">
      <c r="A5021" t="s">
        <v>17</v>
      </c>
      <c r="B5021">
        <v>5020</v>
      </c>
      <c r="C5021" t="s">
        <v>1035</v>
      </c>
      <c r="D5021" t="s">
        <v>67</v>
      </c>
      <c r="E5021">
        <v>2018</v>
      </c>
      <c r="F5021" t="s">
        <v>138</v>
      </c>
      <c r="G5021" t="s">
        <v>14</v>
      </c>
      <c r="H5021" t="s">
        <v>26</v>
      </c>
      <c r="I5021" t="s">
        <v>40</v>
      </c>
      <c r="J5021">
        <v>0.144534212</v>
      </c>
      <c r="K5021"/>
      <c r="L5021" s="1">
        <v>190.65039999999999</v>
      </c>
      <c r="M5021">
        <v>3.3</v>
      </c>
    </row>
    <row r="5022" spans="1:13" x14ac:dyDescent="0.3">
      <c r="A5022" t="s">
        <v>17</v>
      </c>
      <c r="B5022">
        <v>5021</v>
      </c>
      <c r="C5022" t="s">
        <v>626</v>
      </c>
      <c r="D5022" t="s">
        <v>19</v>
      </c>
      <c r="E5022">
        <v>2018</v>
      </c>
      <c r="F5022" t="s">
        <v>138</v>
      </c>
      <c r="G5022" t="s">
        <v>14</v>
      </c>
      <c r="H5022" t="s">
        <v>26</v>
      </c>
      <c r="I5022" t="s">
        <v>40</v>
      </c>
      <c r="J5022">
        <v>9.1411749E-2</v>
      </c>
      <c r="K5022"/>
      <c r="L5022" s="1">
        <v>121.373</v>
      </c>
      <c r="M5022">
        <v>3.3</v>
      </c>
    </row>
    <row r="5023" spans="1:13" x14ac:dyDescent="0.3">
      <c r="A5023" t="s">
        <v>17</v>
      </c>
      <c r="B5023">
        <v>5022</v>
      </c>
      <c r="C5023" t="s">
        <v>1113</v>
      </c>
      <c r="D5023" t="s">
        <v>19</v>
      </c>
      <c r="E5023">
        <v>2018</v>
      </c>
      <c r="F5023" t="s">
        <v>138</v>
      </c>
      <c r="G5023" t="s">
        <v>14</v>
      </c>
      <c r="H5023" t="s">
        <v>26</v>
      </c>
      <c r="I5023" t="s">
        <v>40</v>
      </c>
      <c r="J5023">
        <v>0.16994319499999999</v>
      </c>
      <c r="K5023"/>
      <c r="L5023" s="1">
        <v>116.2492</v>
      </c>
      <c r="M5023">
        <v>3.3</v>
      </c>
    </row>
    <row r="5024" spans="1:13" x14ac:dyDescent="0.3">
      <c r="A5024" t="s">
        <v>17</v>
      </c>
      <c r="B5024">
        <v>5023</v>
      </c>
      <c r="C5024" t="s">
        <v>1474</v>
      </c>
      <c r="D5024" t="s">
        <v>32</v>
      </c>
      <c r="E5024">
        <v>2018</v>
      </c>
      <c r="F5024" t="s">
        <v>138</v>
      </c>
      <c r="G5024" t="s">
        <v>14</v>
      </c>
      <c r="H5024" t="s">
        <v>26</v>
      </c>
      <c r="I5024" t="s">
        <v>40</v>
      </c>
      <c r="J5024">
        <v>0.19842484099999999</v>
      </c>
      <c r="K5024"/>
      <c r="L5024" s="1">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K5025"/>
      <c r="L5025" s="1">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s="1">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s="1">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s="1">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s="1">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s="1">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s="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s="1">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s="1">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s="1">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s="1">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s="1">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s="1">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s="1">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s="1">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s="1">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s="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s="1">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s="1">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s="1">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s="1">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s="1">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s="1">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s="1">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s="1">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s="1">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s="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s="1">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s="1">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s="1">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s="1">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s="1">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s="1">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s="1">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s="1">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s="1">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s="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s="1">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s="1">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s="1">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s="1">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s="1">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s="1">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s="1">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s="1">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s="1">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s="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s="1">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s="1">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s="1">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s="1">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s="1">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s="1">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s="1">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s="1">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s="1">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s="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s="1">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s="1">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s="1">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s="1">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s="1">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s="1">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s="1">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s="1">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s="1">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s="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s="1">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s="1">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s="1">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s="1">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s="1">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s="1">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s="1">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s="1">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s="1">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s="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s="1">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s="1">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s="1">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s="1">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s="1">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s="1">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s="1">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s="1">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s="1">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s="1">
        <v>64.416799999999995</v>
      </c>
      <c r="M5111">
        <v>3.3</v>
      </c>
    </row>
    <row r="5112" spans="1:13" x14ac:dyDescent="0.3">
      <c r="A5112" t="s">
        <v>17</v>
      </c>
      <c r="B5112">
        <v>5111</v>
      </c>
      <c r="C5112" t="s">
        <v>495</v>
      </c>
      <c r="D5112" t="s">
        <v>67</v>
      </c>
      <c r="E5112">
        <v>2018</v>
      </c>
      <c r="F5112" t="s">
        <v>45</v>
      </c>
      <c r="G5112" t="s">
        <v>21</v>
      </c>
      <c r="H5112" t="s">
        <v>15</v>
      </c>
      <c r="I5112" t="s">
        <v>46</v>
      </c>
      <c r="J5112">
        <v>0</v>
      </c>
      <c r="K5112"/>
      <c r="L5112" s="1">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K5113"/>
      <c r="L5113" s="1">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K5114"/>
      <c r="L5114" s="1">
        <v>39.8506</v>
      </c>
      <c r="M5114">
        <v>3.3</v>
      </c>
    </row>
    <row r="5115" spans="1:13" x14ac:dyDescent="0.3">
      <c r="A5115" t="s">
        <v>17</v>
      </c>
      <c r="B5115">
        <v>5114</v>
      </c>
      <c r="C5115" t="s">
        <v>528</v>
      </c>
      <c r="D5115" t="s">
        <v>19</v>
      </c>
      <c r="E5115">
        <v>2018</v>
      </c>
      <c r="F5115" t="s">
        <v>45</v>
      </c>
      <c r="G5115" t="s">
        <v>21</v>
      </c>
      <c r="H5115" t="s">
        <v>15</v>
      </c>
      <c r="I5115" t="s">
        <v>46</v>
      </c>
      <c r="J5115">
        <v>2.4358634000000001E-2</v>
      </c>
      <c r="K5115"/>
      <c r="L5115" s="1">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K5116"/>
      <c r="L5116" s="1">
        <v>228.0352</v>
      </c>
      <c r="M5116">
        <v>3.3</v>
      </c>
    </row>
    <row r="5117" spans="1:13" x14ac:dyDescent="0.3">
      <c r="A5117" t="s">
        <v>10</v>
      </c>
      <c r="B5117">
        <v>5116</v>
      </c>
      <c r="C5117" t="s">
        <v>1004</v>
      </c>
      <c r="D5117" t="s">
        <v>67</v>
      </c>
      <c r="E5117">
        <v>2018</v>
      </c>
      <c r="F5117" t="s">
        <v>45</v>
      </c>
      <c r="G5117" t="s">
        <v>21</v>
      </c>
      <c r="H5117" t="s">
        <v>15</v>
      </c>
      <c r="I5117" t="s">
        <v>46</v>
      </c>
      <c r="J5117">
        <v>0.14331999500000001</v>
      </c>
      <c r="K5117"/>
      <c r="L5117" s="1">
        <v>237.5222</v>
      </c>
      <c r="M5117">
        <v>3.3</v>
      </c>
    </row>
    <row r="5118" spans="1:13" x14ac:dyDescent="0.3">
      <c r="A5118" t="s">
        <v>10</v>
      </c>
      <c r="B5118">
        <v>5117</v>
      </c>
      <c r="C5118" t="s">
        <v>526</v>
      </c>
      <c r="D5118" t="s">
        <v>54</v>
      </c>
      <c r="E5118">
        <v>2018</v>
      </c>
      <c r="F5118" t="s">
        <v>45</v>
      </c>
      <c r="G5118" t="s">
        <v>21</v>
      </c>
      <c r="H5118" t="s">
        <v>15</v>
      </c>
      <c r="I5118" t="s">
        <v>46</v>
      </c>
      <c r="J5118">
        <v>6.9250192000000002E-2</v>
      </c>
      <c r="K5118"/>
      <c r="L5118" s="1">
        <v>232.9616</v>
      </c>
      <c r="M5118">
        <v>3.3</v>
      </c>
    </row>
    <row r="5119" spans="1:13" x14ac:dyDescent="0.3">
      <c r="A5119" t="s">
        <v>10</v>
      </c>
      <c r="B5119">
        <v>5118</v>
      </c>
      <c r="C5119" t="s">
        <v>583</v>
      </c>
      <c r="D5119" t="s">
        <v>54</v>
      </c>
      <c r="E5119">
        <v>2018</v>
      </c>
      <c r="F5119" t="s">
        <v>45</v>
      </c>
      <c r="G5119" t="s">
        <v>21</v>
      </c>
      <c r="H5119" t="s">
        <v>15</v>
      </c>
      <c r="I5119" t="s">
        <v>46</v>
      </c>
      <c r="J5119">
        <v>5.4846706000000002E-2</v>
      </c>
      <c r="K5119"/>
      <c r="L5119" s="1">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s="1">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s="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s="1">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s="1">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s="1">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s="1">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s="1">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s="1">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s="1">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s="1">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s="1">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s="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s="1">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K5133"/>
      <c r="L5133" s="1">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K5134"/>
      <c r="L5134" s="1">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K5135"/>
      <c r="L5135" s="1">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s="1">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s="1">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s="1">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s="1">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s="1">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s="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s="1">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s="1">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s="1">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s="1">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s="1">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s="1">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s="1">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s="1">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s="1">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s="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s="1">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s="1">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s="1">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s="1">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s="1">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s="1">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s="1">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s="1">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s="1">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s="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s="1">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s="1">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s="1">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s="1">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s="1">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s="1">
        <v>142.57859999999999</v>
      </c>
      <c r="M5167">
        <v>3.2</v>
      </c>
    </row>
    <row r="5168" spans="1:13" x14ac:dyDescent="0.3">
      <c r="A5168" t="s">
        <v>17</v>
      </c>
      <c r="B5168">
        <v>5167</v>
      </c>
      <c r="C5168" t="s">
        <v>1061</v>
      </c>
      <c r="D5168" t="s">
        <v>95</v>
      </c>
      <c r="E5168">
        <v>2018</v>
      </c>
      <c r="F5168" t="s">
        <v>45</v>
      </c>
      <c r="G5168" t="s">
        <v>21</v>
      </c>
      <c r="H5168" t="s">
        <v>15</v>
      </c>
      <c r="I5168" t="s">
        <v>46</v>
      </c>
      <c r="J5168">
        <v>8.499464E-3</v>
      </c>
      <c r="K5168"/>
      <c r="L5168" s="1">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K5169"/>
      <c r="L5169" s="1">
        <v>94.343599999999995</v>
      </c>
      <c r="M5169">
        <v>3.2</v>
      </c>
    </row>
    <row r="5170" spans="1:13" x14ac:dyDescent="0.3">
      <c r="A5170" t="s">
        <v>17</v>
      </c>
      <c r="B5170">
        <v>5169</v>
      </c>
      <c r="C5170" t="s">
        <v>668</v>
      </c>
      <c r="D5170" t="s">
        <v>12</v>
      </c>
      <c r="E5170">
        <v>2018</v>
      </c>
      <c r="F5170" t="s">
        <v>45</v>
      </c>
      <c r="G5170" t="s">
        <v>21</v>
      </c>
      <c r="H5170" t="s">
        <v>15</v>
      </c>
      <c r="I5170" t="s">
        <v>46</v>
      </c>
      <c r="J5170">
        <v>0</v>
      </c>
      <c r="K5170"/>
      <c r="L5170" s="1">
        <v>255.7988</v>
      </c>
      <c r="M5170">
        <v>3.2</v>
      </c>
    </row>
    <row r="5171" spans="1:13" x14ac:dyDescent="0.3">
      <c r="A5171" t="s">
        <v>10</v>
      </c>
      <c r="B5171">
        <v>5170</v>
      </c>
      <c r="C5171" t="s">
        <v>1422</v>
      </c>
      <c r="D5171" t="s">
        <v>95</v>
      </c>
      <c r="E5171">
        <v>2018</v>
      </c>
      <c r="F5171" t="s">
        <v>45</v>
      </c>
      <c r="G5171" t="s">
        <v>21</v>
      </c>
      <c r="H5171" t="s">
        <v>15</v>
      </c>
      <c r="I5171" t="s">
        <v>46</v>
      </c>
      <c r="J5171">
        <v>6.7175915000000003E-2</v>
      </c>
      <c r="K5171"/>
      <c r="L5171" s="1">
        <v>187.124</v>
      </c>
      <c r="M5171">
        <v>3.2</v>
      </c>
    </row>
    <row r="5172" spans="1:13" x14ac:dyDescent="0.3">
      <c r="A5172" t="s">
        <v>10</v>
      </c>
      <c r="B5172">
        <v>5171</v>
      </c>
      <c r="C5172" t="s">
        <v>253</v>
      </c>
      <c r="D5172" t="s">
        <v>67</v>
      </c>
      <c r="E5172">
        <v>2018</v>
      </c>
      <c r="F5172" t="s">
        <v>45</v>
      </c>
      <c r="G5172" t="s">
        <v>21</v>
      </c>
      <c r="H5172" t="s">
        <v>15</v>
      </c>
      <c r="I5172" t="s">
        <v>46</v>
      </c>
      <c r="J5172">
        <v>6.2920180000000006E-2</v>
      </c>
      <c r="K5172"/>
      <c r="L5172" s="1">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K5173"/>
      <c r="L5173" s="1">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K5174"/>
      <c r="L5174" s="1">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s="1">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K5176"/>
      <c r="L5176" s="1">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s="1">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s="1">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s="1">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s="1">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s="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s="1">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s="1">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s="1">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s="1">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s="1">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s="1">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s="1">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s="1">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K5190"/>
      <c r="L5190" s="1">
        <v>119.3124</v>
      </c>
      <c r="M5190">
        <v>3.1</v>
      </c>
    </row>
    <row r="5191" spans="1:13" x14ac:dyDescent="0.3">
      <c r="A5191" t="s">
        <v>17</v>
      </c>
      <c r="B5191">
        <v>5190</v>
      </c>
      <c r="C5191" t="s">
        <v>942</v>
      </c>
      <c r="D5191" t="s">
        <v>48</v>
      </c>
      <c r="E5191">
        <v>2018</v>
      </c>
      <c r="F5191" t="s">
        <v>138</v>
      </c>
      <c r="G5191" t="s">
        <v>14</v>
      </c>
      <c r="H5191" t="s">
        <v>26</v>
      </c>
      <c r="I5191" t="s">
        <v>40</v>
      </c>
      <c r="J5191">
        <v>0.18803837200000001</v>
      </c>
      <c r="K5191"/>
      <c r="L5191" s="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s="1">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s="1">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s="1">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s="1">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s="1">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s="1">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s="1">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s="1">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s="1">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s="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s="1">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s="1">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s="1">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s="1">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s="1">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s="1">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s="1">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s="1">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s="1">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s="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s="1">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s="1">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s="1">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s="1">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s="1">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s="1">
        <v>114.0176</v>
      </c>
      <c r="M5217">
        <v>3.1</v>
      </c>
    </row>
    <row r="5218" spans="1:13" x14ac:dyDescent="0.3">
      <c r="A5218" t="s">
        <v>17</v>
      </c>
      <c r="B5218">
        <v>5217</v>
      </c>
      <c r="C5218" t="s">
        <v>1106</v>
      </c>
      <c r="D5218" t="s">
        <v>67</v>
      </c>
      <c r="E5218">
        <v>2018</v>
      </c>
      <c r="F5218" t="s">
        <v>45</v>
      </c>
      <c r="G5218" t="s">
        <v>21</v>
      </c>
      <c r="H5218" t="s">
        <v>15</v>
      </c>
      <c r="I5218" t="s">
        <v>46</v>
      </c>
      <c r="J5218">
        <v>8.6752988000000003E-2</v>
      </c>
      <c r="K5218"/>
      <c r="L5218" s="1">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K5219"/>
      <c r="L5219" s="1">
        <v>99.504199999999997</v>
      </c>
      <c r="M5219">
        <v>3.1</v>
      </c>
    </row>
    <row r="5220" spans="1:13" x14ac:dyDescent="0.3">
      <c r="A5220" t="s">
        <v>10</v>
      </c>
      <c r="B5220">
        <v>5219</v>
      </c>
      <c r="C5220" t="s">
        <v>1458</v>
      </c>
      <c r="D5220" t="s">
        <v>28</v>
      </c>
      <c r="E5220">
        <v>2018</v>
      </c>
      <c r="F5220" t="s">
        <v>45</v>
      </c>
      <c r="G5220" t="s">
        <v>21</v>
      </c>
      <c r="H5220" t="s">
        <v>15</v>
      </c>
      <c r="I5220" t="s">
        <v>46</v>
      </c>
      <c r="J5220">
        <v>2.748331E-2</v>
      </c>
      <c r="K5220"/>
      <c r="L5220" s="1">
        <v>169.37899999999999</v>
      </c>
      <c r="M5220">
        <v>3.1</v>
      </c>
    </row>
    <row r="5221" spans="1:13" x14ac:dyDescent="0.3">
      <c r="A5221" t="s">
        <v>10</v>
      </c>
      <c r="B5221">
        <v>5220</v>
      </c>
      <c r="C5221" t="s">
        <v>807</v>
      </c>
      <c r="D5221" t="s">
        <v>12</v>
      </c>
      <c r="E5221">
        <v>2018</v>
      </c>
      <c r="F5221" t="s">
        <v>45</v>
      </c>
      <c r="G5221" t="s">
        <v>21</v>
      </c>
      <c r="H5221" t="s">
        <v>15</v>
      </c>
      <c r="I5221" t="s">
        <v>46</v>
      </c>
      <c r="J5221">
        <v>2.9510313E-2</v>
      </c>
      <c r="K5221"/>
      <c r="L5221" s="1">
        <v>141.9838</v>
      </c>
      <c r="M5221">
        <v>3.1</v>
      </c>
    </row>
    <row r="5222" spans="1:13" x14ac:dyDescent="0.3">
      <c r="A5222" t="s">
        <v>10</v>
      </c>
      <c r="B5222">
        <v>5221</v>
      </c>
      <c r="C5222" t="s">
        <v>457</v>
      </c>
      <c r="D5222" t="s">
        <v>54</v>
      </c>
      <c r="E5222">
        <v>2018</v>
      </c>
      <c r="F5222" t="s">
        <v>45</v>
      </c>
      <c r="G5222" t="s">
        <v>21</v>
      </c>
      <c r="H5222" t="s">
        <v>15</v>
      </c>
      <c r="I5222" t="s">
        <v>46</v>
      </c>
      <c r="J5222">
        <v>3.3276066E-2</v>
      </c>
      <c r="K5222"/>
      <c r="L5222" s="1">
        <v>153.8314</v>
      </c>
      <c r="M5222">
        <v>3.1</v>
      </c>
    </row>
    <row r="5223" spans="1:13" x14ac:dyDescent="0.3">
      <c r="A5223" t="s">
        <v>10</v>
      </c>
      <c r="B5223">
        <v>5222</v>
      </c>
      <c r="C5223" t="s">
        <v>1565</v>
      </c>
      <c r="D5223" t="s">
        <v>48</v>
      </c>
      <c r="E5223">
        <v>2018</v>
      </c>
      <c r="F5223" t="s">
        <v>45</v>
      </c>
      <c r="G5223" t="s">
        <v>21</v>
      </c>
      <c r="H5223" t="s">
        <v>15</v>
      </c>
      <c r="I5223" t="s">
        <v>46</v>
      </c>
      <c r="J5223">
        <v>3.0143704E-2</v>
      </c>
      <c r="K5223"/>
      <c r="L5223" s="1">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K5224"/>
      <c r="L5224" s="1">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s="1">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s="1">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s="1">
        <v>173.07380000000001</v>
      </c>
      <c r="M5227">
        <v>3</v>
      </c>
    </row>
    <row r="5228" spans="1:13" x14ac:dyDescent="0.3">
      <c r="A5228" t="s">
        <v>17</v>
      </c>
      <c r="B5228">
        <v>5227</v>
      </c>
      <c r="C5228" t="s">
        <v>98</v>
      </c>
      <c r="D5228" t="s">
        <v>67</v>
      </c>
      <c r="E5228">
        <v>2018</v>
      </c>
      <c r="F5228" t="s">
        <v>138</v>
      </c>
      <c r="G5228" t="s">
        <v>14</v>
      </c>
      <c r="H5228" t="s">
        <v>26</v>
      </c>
      <c r="I5228" t="s">
        <v>40</v>
      </c>
      <c r="J5228">
        <v>4.9754975E-2</v>
      </c>
      <c r="K5228"/>
      <c r="L5228" s="1">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s="1">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s="1">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s="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K5232"/>
      <c r="L5232" s="1">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s="1">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K5234"/>
      <c r="L5234" s="1">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s="1">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s="1">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s="1">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s="1">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s="1">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s="1">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K5241"/>
      <c r="L5241" s="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s="1">
        <v>85.219800000000006</v>
      </c>
      <c r="M5242">
        <v>3</v>
      </c>
    </row>
    <row r="5243" spans="1:13" x14ac:dyDescent="0.3">
      <c r="A5243" t="s">
        <v>17</v>
      </c>
      <c r="B5243">
        <v>5242</v>
      </c>
      <c r="C5243" t="s">
        <v>391</v>
      </c>
      <c r="D5243" t="s">
        <v>48</v>
      </c>
      <c r="E5243">
        <v>2018</v>
      </c>
      <c r="F5243" t="s">
        <v>45</v>
      </c>
      <c r="G5243" t="s">
        <v>21</v>
      </c>
      <c r="H5243" t="s">
        <v>15</v>
      </c>
      <c r="I5243" t="s">
        <v>46</v>
      </c>
      <c r="J5243">
        <v>0.154627247</v>
      </c>
      <c r="K5243"/>
      <c r="L5243" s="1">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s="1">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s="1">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s="1">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s="1">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s="1">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s="1">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s="1">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s="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s="1">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s="1">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s="1">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s="1">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s="1">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s="1">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s="1">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s="1">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s="1">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s="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s="1">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s="1">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s="1">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s="1">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K5266"/>
      <c r="L5266" s="1">
        <v>125.4362</v>
      </c>
      <c r="M5266">
        <v>3</v>
      </c>
    </row>
    <row r="5267" spans="1:13" x14ac:dyDescent="0.3">
      <c r="A5267" t="s">
        <v>17</v>
      </c>
      <c r="B5267">
        <v>5266</v>
      </c>
      <c r="C5267" t="s">
        <v>987</v>
      </c>
      <c r="D5267" t="s">
        <v>74</v>
      </c>
      <c r="E5267">
        <v>2018</v>
      </c>
      <c r="F5267" t="s">
        <v>138</v>
      </c>
      <c r="G5267" t="s">
        <v>14</v>
      </c>
      <c r="H5267" t="s">
        <v>26</v>
      </c>
      <c r="I5267" t="s">
        <v>40</v>
      </c>
      <c r="J5267">
        <v>0.266234421</v>
      </c>
      <c r="K5267"/>
      <c r="L5267" s="1">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K5268"/>
      <c r="L5268" s="1">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K5269"/>
      <c r="L5269" s="1">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K5270"/>
      <c r="L5270" s="1">
        <v>241.3854</v>
      </c>
      <c r="M5270">
        <v>3</v>
      </c>
    </row>
    <row r="5271" spans="1:13" x14ac:dyDescent="0.3">
      <c r="A5271" t="s">
        <v>17</v>
      </c>
      <c r="B5271">
        <v>5270</v>
      </c>
      <c r="C5271" t="s">
        <v>909</v>
      </c>
      <c r="D5271" t="s">
        <v>12</v>
      </c>
      <c r="E5271">
        <v>2018</v>
      </c>
      <c r="F5271" t="s">
        <v>138</v>
      </c>
      <c r="G5271" t="s">
        <v>14</v>
      </c>
      <c r="H5271" t="s">
        <v>26</v>
      </c>
      <c r="I5271" t="s">
        <v>40</v>
      </c>
      <c r="J5271">
        <v>7.0660449E-2</v>
      </c>
      <c r="K5271"/>
      <c r="L5271" s="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K5272"/>
      <c r="L5272" s="1">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K5273"/>
      <c r="L5273" s="1">
        <v>193.14779999999999</v>
      </c>
      <c r="M5273">
        <v>3</v>
      </c>
    </row>
    <row r="5274" spans="1:13" x14ac:dyDescent="0.3">
      <c r="A5274" t="s">
        <v>35</v>
      </c>
      <c r="B5274">
        <v>5273</v>
      </c>
      <c r="C5274" t="s">
        <v>854</v>
      </c>
      <c r="D5274" t="s">
        <v>67</v>
      </c>
      <c r="E5274">
        <v>2018</v>
      </c>
      <c r="F5274" t="s">
        <v>138</v>
      </c>
      <c r="G5274" t="s">
        <v>14</v>
      </c>
      <c r="H5274" t="s">
        <v>26</v>
      </c>
      <c r="I5274" t="s">
        <v>40</v>
      </c>
      <c r="J5274">
        <v>0</v>
      </c>
      <c r="K5274"/>
      <c r="L5274" s="1">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s="1">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s="1">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s="1">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s="1">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s="1">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s="1">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s="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s="1">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s="1">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s="1">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s="1">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s="1">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s="1">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s="1">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s="1">
        <v>102.599</v>
      </c>
      <c r="M5289">
        <v>3</v>
      </c>
    </row>
    <row r="5290" spans="1:13" x14ac:dyDescent="0.3">
      <c r="A5290" t="s">
        <v>10</v>
      </c>
      <c r="B5290">
        <v>5289</v>
      </c>
      <c r="C5290" t="s">
        <v>810</v>
      </c>
      <c r="D5290" t="s">
        <v>48</v>
      </c>
      <c r="E5290">
        <v>2016</v>
      </c>
      <c r="F5290" t="s">
        <v>25</v>
      </c>
      <c r="G5290" t="s">
        <v>14</v>
      </c>
      <c r="H5290" t="s">
        <v>26</v>
      </c>
      <c r="I5290" t="s">
        <v>16</v>
      </c>
      <c r="J5290">
        <v>0</v>
      </c>
      <c r="K5290">
        <v>11.35</v>
      </c>
      <c r="L5290" s="1">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s="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s="1">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s="1">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s="1">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s="1">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s="1">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s="1">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s="1">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s="1">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s="1">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s="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s="1">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s="1">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s="1">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s="1">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s="1">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s="1">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s="1">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s="1">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s="1">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s="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s="1">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s="1">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s="1">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s="1">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s="1">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s="1">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s="1">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s="1">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s="1">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s="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s="1">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s="1">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s="1">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s="1">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s="1">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s="1">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s="1">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s="1">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s="1">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s="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s="1">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s="1">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s="1">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s="1">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s="1">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s="1">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s="1">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s="1">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s="1">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s="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s="1">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s="1">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s="1">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s="1">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s="1">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s="1">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s="1">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s="1">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s="1">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s="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s="1">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s="1">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s="1">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s="1">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s="1">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s="1">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s="1">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s="1">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s="1">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s="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s="1">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s="1">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s="1">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s="1">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s="1">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s="1">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s="1">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s="1">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s="1">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s="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s="1">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s="1">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s="1">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s="1">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s="1">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s="1">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s="1">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s="1">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s="1">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s="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s="1">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s="1">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s="1">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s="1">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s="1">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s="1">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s="1">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s="1">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s="1">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s="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s="1">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s="1">
        <v>94.741</v>
      </c>
      <c r="M5393">
        <v>3</v>
      </c>
    </row>
    <row r="5394" spans="1:13" x14ac:dyDescent="0.3">
      <c r="A5394" t="s">
        <v>17</v>
      </c>
      <c r="B5394">
        <v>5393</v>
      </c>
      <c r="C5394" t="s">
        <v>106</v>
      </c>
      <c r="D5394" t="s">
        <v>61</v>
      </c>
      <c r="E5394">
        <v>2018</v>
      </c>
      <c r="F5394" t="s">
        <v>45</v>
      </c>
      <c r="G5394" t="s">
        <v>21</v>
      </c>
      <c r="H5394" t="s">
        <v>15</v>
      </c>
      <c r="I5394" t="s">
        <v>46</v>
      </c>
      <c r="J5394">
        <v>3.5746979999999999E-3</v>
      </c>
      <c r="K5394"/>
      <c r="L5394" s="1">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K5395"/>
      <c r="L5395" s="1">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K5396"/>
      <c r="L5396" s="1">
        <v>200.07419999999999</v>
      </c>
      <c r="M5396">
        <v>3</v>
      </c>
    </row>
    <row r="5397" spans="1:13" x14ac:dyDescent="0.3">
      <c r="A5397" t="s">
        <v>17</v>
      </c>
      <c r="B5397">
        <v>5396</v>
      </c>
      <c r="C5397" t="s">
        <v>1302</v>
      </c>
      <c r="D5397" t="s">
        <v>28</v>
      </c>
      <c r="E5397">
        <v>2018</v>
      </c>
      <c r="F5397" t="s">
        <v>45</v>
      </c>
      <c r="G5397" t="s">
        <v>21</v>
      </c>
      <c r="H5397" t="s">
        <v>15</v>
      </c>
      <c r="I5397" t="s">
        <v>46</v>
      </c>
      <c r="J5397">
        <v>0.14095631</v>
      </c>
      <c r="K5397"/>
      <c r="L5397" s="1">
        <v>167.7132</v>
      </c>
      <c r="M5397">
        <v>3</v>
      </c>
    </row>
    <row r="5398" spans="1:13" x14ac:dyDescent="0.3">
      <c r="A5398" t="s">
        <v>17</v>
      </c>
      <c r="B5398">
        <v>5397</v>
      </c>
      <c r="C5398" t="s">
        <v>853</v>
      </c>
      <c r="D5398" t="s">
        <v>67</v>
      </c>
      <c r="E5398">
        <v>2018</v>
      </c>
      <c r="F5398" t="s">
        <v>45</v>
      </c>
      <c r="G5398" t="s">
        <v>21</v>
      </c>
      <c r="H5398" t="s">
        <v>15</v>
      </c>
      <c r="I5398" t="s">
        <v>46</v>
      </c>
      <c r="J5398">
        <v>7.9622730000000006E-3</v>
      </c>
      <c r="K5398"/>
      <c r="L5398" s="1">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K5399"/>
      <c r="L5399" s="1">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K5400"/>
      <c r="L5400" s="1">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K5401"/>
      <c r="L5401" s="1">
        <v>46.206000000000003</v>
      </c>
      <c r="M5401">
        <v>3</v>
      </c>
    </row>
    <row r="5402" spans="1:13" x14ac:dyDescent="0.3">
      <c r="A5402" t="s">
        <v>17</v>
      </c>
      <c r="B5402">
        <v>5401</v>
      </c>
      <c r="C5402" t="s">
        <v>41</v>
      </c>
      <c r="D5402" t="s">
        <v>42</v>
      </c>
      <c r="E5402">
        <v>2018</v>
      </c>
      <c r="F5402" t="s">
        <v>45</v>
      </c>
      <c r="G5402" t="s">
        <v>21</v>
      </c>
      <c r="H5402" t="s">
        <v>15</v>
      </c>
      <c r="I5402" t="s">
        <v>46</v>
      </c>
      <c r="J5402">
        <v>0</v>
      </c>
      <c r="K5402"/>
      <c r="L5402" s="1">
        <v>98.172600000000003</v>
      </c>
      <c r="M5402">
        <v>3</v>
      </c>
    </row>
    <row r="5403" spans="1:13" x14ac:dyDescent="0.3">
      <c r="A5403" t="s">
        <v>17</v>
      </c>
      <c r="B5403">
        <v>5402</v>
      </c>
      <c r="C5403" t="s">
        <v>1250</v>
      </c>
      <c r="D5403" t="s">
        <v>42</v>
      </c>
      <c r="E5403">
        <v>2018</v>
      </c>
      <c r="F5403" t="s">
        <v>45</v>
      </c>
      <c r="G5403" t="s">
        <v>21</v>
      </c>
      <c r="H5403" t="s">
        <v>15</v>
      </c>
      <c r="I5403" t="s">
        <v>46</v>
      </c>
      <c r="J5403">
        <v>0.111777297</v>
      </c>
      <c r="K5403"/>
      <c r="L5403" s="1">
        <v>124.6046</v>
      </c>
      <c r="M5403">
        <v>3</v>
      </c>
    </row>
    <row r="5404" spans="1:13" x14ac:dyDescent="0.3">
      <c r="A5404" t="s">
        <v>17</v>
      </c>
      <c r="B5404">
        <v>5403</v>
      </c>
      <c r="C5404" t="s">
        <v>1131</v>
      </c>
      <c r="D5404" t="s">
        <v>42</v>
      </c>
      <c r="E5404">
        <v>2018</v>
      </c>
      <c r="F5404" t="s">
        <v>45</v>
      </c>
      <c r="G5404" t="s">
        <v>21</v>
      </c>
      <c r="H5404" t="s">
        <v>15</v>
      </c>
      <c r="I5404" t="s">
        <v>46</v>
      </c>
      <c r="J5404">
        <v>4.4591774000000001E-2</v>
      </c>
      <c r="K5404"/>
      <c r="L5404" s="1">
        <v>59.656199999999998</v>
      </c>
      <c r="M5404">
        <v>3</v>
      </c>
    </row>
    <row r="5405" spans="1:13" x14ac:dyDescent="0.3">
      <c r="A5405" t="s">
        <v>17</v>
      </c>
      <c r="B5405">
        <v>5404</v>
      </c>
      <c r="C5405" t="s">
        <v>1071</v>
      </c>
      <c r="D5405" t="s">
        <v>54</v>
      </c>
      <c r="E5405">
        <v>2018</v>
      </c>
      <c r="F5405" t="s">
        <v>45</v>
      </c>
      <c r="G5405" t="s">
        <v>21</v>
      </c>
      <c r="H5405" t="s">
        <v>15</v>
      </c>
      <c r="I5405" t="s">
        <v>46</v>
      </c>
      <c r="J5405">
        <v>0.118872194</v>
      </c>
      <c r="K5405"/>
      <c r="L5405" s="1">
        <v>188.35300000000001</v>
      </c>
      <c r="M5405">
        <v>3</v>
      </c>
    </row>
    <row r="5406" spans="1:13" x14ac:dyDescent="0.3">
      <c r="A5406" t="s">
        <v>17</v>
      </c>
      <c r="B5406">
        <v>5405</v>
      </c>
      <c r="C5406" t="s">
        <v>1087</v>
      </c>
      <c r="D5406" t="s">
        <v>48</v>
      </c>
      <c r="E5406">
        <v>2018</v>
      </c>
      <c r="F5406" t="s">
        <v>45</v>
      </c>
      <c r="G5406" t="s">
        <v>21</v>
      </c>
      <c r="H5406" t="s">
        <v>15</v>
      </c>
      <c r="I5406" t="s">
        <v>46</v>
      </c>
      <c r="J5406">
        <v>3.8340116E-2</v>
      </c>
      <c r="K5406"/>
      <c r="L5406" s="1">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K5407"/>
      <c r="L5407" s="1">
        <v>164.8526</v>
      </c>
      <c r="M5407">
        <v>3</v>
      </c>
    </row>
    <row r="5408" spans="1:13" x14ac:dyDescent="0.3">
      <c r="A5408" t="s">
        <v>17</v>
      </c>
      <c r="B5408">
        <v>5407</v>
      </c>
      <c r="C5408" t="s">
        <v>1566</v>
      </c>
      <c r="D5408" t="s">
        <v>48</v>
      </c>
      <c r="E5408">
        <v>2018</v>
      </c>
      <c r="F5408" t="s">
        <v>45</v>
      </c>
      <c r="G5408" t="s">
        <v>21</v>
      </c>
      <c r="H5408" t="s">
        <v>15</v>
      </c>
      <c r="I5408" t="s">
        <v>46</v>
      </c>
      <c r="J5408">
        <v>0.104348025</v>
      </c>
      <c r="K5408"/>
      <c r="L5408" s="1">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K5409"/>
      <c r="L5409" s="1">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K5410"/>
      <c r="L5410" s="1">
        <v>103.1648</v>
      </c>
      <c r="M5410">
        <v>3</v>
      </c>
    </row>
    <row r="5411" spans="1:13" x14ac:dyDescent="0.3">
      <c r="A5411" t="s">
        <v>10</v>
      </c>
      <c r="B5411">
        <v>5410</v>
      </c>
      <c r="C5411" t="s">
        <v>1120</v>
      </c>
      <c r="D5411" t="s">
        <v>67</v>
      </c>
      <c r="E5411">
        <v>2018</v>
      </c>
      <c r="F5411" t="s">
        <v>45</v>
      </c>
      <c r="G5411" t="s">
        <v>21</v>
      </c>
      <c r="H5411" t="s">
        <v>15</v>
      </c>
      <c r="I5411" t="s">
        <v>46</v>
      </c>
      <c r="J5411">
        <v>6.7543726999999998E-2</v>
      </c>
      <c r="K5411"/>
      <c r="L5411" s="1">
        <v>57.2562</v>
      </c>
      <c r="M5411">
        <v>3</v>
      </c>
    </row>
    <row r="5412" spans="1:13" x14ac:dyDescent="0.3">
      <c r="A5412" t="s">
        <v>10</v>
      </c>
      <c r="B5412">
        <v>5411</v>
      </c>
      <c r="C5412" t="s">
        <v>461</v>
      </c>
      <c r="D5412" t="s">
        <v>12</v>
      </c>
      <c r="E5412">
        <v>2018</v>
      </c>
      <c r="F5412" t="s">
        <v>45</v>
      </c>
      <c r="G5412" t="s">
        <v>21</v>
      </c>
      <c r="H5412" t="s">
        <v>15</v>
      </c>
      <c r="I5412" t="s">
        <v>46</v>
      </c>
      <c r="J5412">
        <v>0.16072286299999999</v>
      </c>
      <c r="K5412"/>
      <c r="L5412" s="1">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K5413"/>
      <c r="L5413" s="1">
        <v>172.04220000000001</v>
      </c>
      <c r="M5413">
        <v>3</v>
      </c>
    </row>
    <row r="5414" spans="1:13" x14ac:dyDescent="0.3">
      <c r="A5414" t="s">
        <v>10</v>
      </c>
      <c r="B5414">
        <v>5413</v>
      </c>
      <c r="C5414" t="s">
        <v>903</v>
      </c>
      <c r="D5414" t="s">
        <v>48</v>
      </c>
      <c r="E5414">
        <v>2018</v>
      </c>
      <c r="F5414" t="s">
        <v>45</v>
      </c>
      <c r="G5414" t="s">
        <v>21</v>
      </c>
      <c r="H5414" t="s">
        <v>15</v>
      </c>
      <c r="I5414" t="s">
        <v>46</v>
      </c>
      <c r="J5414">
        <v>1.3431109E-2</v>
      </c>
      <c r="K5414"/>
      <c r="L5414" s="1">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K5415"/>
      <c r="L5415" s="1">
        <v>181.166</v>
      </c>
      <c r="M5415">
        <v>3</v>
      </c>
    </row>
    <row r="5416" spans="1:13" x14ac:dyDescent="0.3">
      <c r="A5416" t="s">
        <v>35</v>
      </c>
      <c r="B5416">
        <v>5415</v>
      </c>
      <c r="C5416" t="s">
        <v>87</v>
      </c>
      <c r="D5416" t="s">
        <v>61</v>
      </c>
      <c r="E5416">
        <v>2018</v>
      </c>
      <c r="F5416" t="s">
        <v>45</v>
      </c>
      <c r="G5416" t="s">
        <v>21</v>
      </c>
      <c r="H5416" t="s">
        <v>15</v>
      </c>
      <c r="I5416" t="s">
        <v>46</v>
      </c>
      <c r="J5416">
        <v>4.7785630000000003E-2</v>
      </c>
      <c r="K5416"/>
      <c r="L5416" s="1">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s="1">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s="1">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s="1">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s="1">
        <v>155.2972</v>
      </c>
      <c r="M5420">
        <v>2.9</v>
      </c>
    </row>
    <row r="5421" spans="1:13" x14ac:dyDescent="0.3">
      <c r="A5421" t="s">
        <v>17</v>
      </c>
      <c r="B5421">
        <v>5420</v>
      </c>
      <c r="C5421" t="s">
        <v>225</v>
      </c>
      <c r="D5421" t="s">
        <v>28</v>
      </c>
      <c r="E5421">
        <v>2018</v>
      </c>
      <c r="F5421" t="s">
        <v>138</v>
      </c>
      <c r="G5421" t="s">
        <v>14</v>
      </c>
      <c r="H5421" t="s">
        <v>26</v>
      </c>
      <c r="I5421" t="s">
        <v>40</v>
      </c>
      <c r="J5421">
        <v>0.21799414</v>
      </c>
      <c r="K5421"/>
      <c r="L5421" s="1">
        <v>266.58839999999998</v>
      </c>
      <c r="M5421">
        <v>2.9</v>
      </c>
    </row>
    <row r="5422" spans="1:13" x14ac:dyDescent="0.3">
      <c r="A5422" t="s">
        <v>17</v>
      </c>
      <c r="B5422">
        <v>5421</v>
      </c>
      <c r="C5422" t="s">
        <v>568</v>
      </c>
      <c r="D5422" t="s">
        <v>32</v>
      </c>
      <c r="E5422">
        <v>2018</v>
      </c>
      <c r="F5422" t="s">
        <v>138</v>
      </c>
      <c r="G5422" t="s">
        <v>14</v>
      </c>
      <c r="H5422" t="s">
        <v>26</v>
      </c>
      <c r="I5422" t="s">
        <v>40</v>
      </c>
      <c r="J5422">
        <v>0</v>
      </c>
      <c r="K5422"/>
      <c r="L5422" s="1">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s="1">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s="1">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s="1">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s="1">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s="1">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s="1">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s="1">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s="1">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s="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s="1">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s="1">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s="1">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s="1">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s="1">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s="1">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s="1">
        <v>184.76079999999999</v>
      </c>
      <c r="M5438">
        <v>2.9</v>
      </c>
    </row>
    <row r="5439" spans="1:13" x14ac:dyDescent="0.3">
      <c r="A5439" t="s">
        <v>17</v>
      </c>
      <c r="B5439">
        <v>5438</v>
      </c>
      <c r="C5439" t="s">
        <v>226</v>
      </c>
      <c r="D5439" t="s">
        <v>28</v>
      </c>
      <c r="E5439">
        <v>2018</v>
      </c>
      <c r="F5439" t="s">
        <v>45</v>
      </c>
      <c r="G5439" t="s">
        <v>21</v>
      </c>
      <c r="H5439" t="s">
        <v>15</v>
      </c>
      <c r="I5439" t="s">
        <v>46</v>
      </c>
      <c r="J5439">
        <v>0.135836915</v>
      </c>
      <c r="K5439"/>
      <c r="L5439" s="1">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K5440"/>
      <c r="L5440" s="1">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s="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s="1">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s="1">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s="1">
        <v>46.506</v>
      </c>
      <c r="M5444">
        <v>2.8</v>
      </c>
    </row>
    <row r="5445" spans="1:13" x14ac:dyDescent="0.3">
      <c r="A5445" t="s">
        <v>10</v>
      </c>
      <c r="B5445">
        <v>5444</v>
      </c>
      <c r="C5445" t="s">
        <v>726</v>
      </c>
      <c r="D5445" t="s">
        <v>28</v>
      </c>
      <c r="E5445">
        <v>2018</v>
      </c>
      <c r="F5445" t="s">
        <v>45</v>
      </c>
      <c r="G5445" t="s">
        <v>21</v>
      </c>
      <c r="H5445" t="s">
        <v>15</v>
      </c>
      <c r="I5445" t="s">
        <v>46</v>
      </c>
      <c r="J5445">
        <v>8.3109454999999999E-2</v>
      </c>
      <c r="K5445"/>
      <c r="L5445" s="1">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s="1">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s="1">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s="1">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K5449"/>
      <c r="L5449" s="1">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s="1">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s="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s="1">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s="1">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K5454"/>
      <c r="L5454" s="1">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s="1">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s="1">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s="1">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s="1">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s="1">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s="1">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s="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s="1">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s="1">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s="1">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s="1">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s="1">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s="1">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s="1">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s="1">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s="1">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s="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s="1">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s="1">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s="1">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s="1">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s="1">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s="1">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s="1">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s="1">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s="1">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s="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K5482"/>
      <c r="L5482" s="1">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K5483"/>
      <c r="L5483" s="1">
        <v>251.904</v>
      </c>
      <c r="M5483">
        <v>2.8</v>
      </c>
    </row>
    <row r="5484" spans="1:13" x14ac:dyDescent="0.3">
      <c r="A5484" t="s">
        <v>17</v>
      </c>
      <c r="B5484">
        <v>5483</v>
      </c>
      <c r="C5484" t="s">
        <v>1085</v>
      </c>
      <c r="D5484" t="s">
        <v>19</v>
      </c>
      <c r="E5484">
        <v>2018</v>
      </c>
      <c r="F5484" t="s">
        <v>45</v>
      </c>
      <c r="G5484" t="s">
        <v>21</v>
      </c>
      <c r="H5484" t="s">
        <v>15</v>
      </c>
      <c r="I5484" t="s">
        <v>46</v>
      </c>
      <c r="J5484">
        <v>0.174336148</v>
      </c>
      <c r="K5484"/>
      <c r="L5484" s="1">
        <v>184.0608</v>
      </c>
      <c r="M5484">
        <v>2.8</v>
      </c>
    </row>
    <row r="5485" spans="1:13" x14ac:dyDescent="0.3">
      <c r="A5485" t="s">
        <v>17</v>
      </c>
      <c r="B5485">
        <v>5484</v>
      </c>
      <c r="C5485" t="s">
        <v>654</v>
      </c>
      <c r="D5485" t="s">
        <v>42</v>
      </c>
      <c r="E5485">
        <v>2018</v>
      </c>
      <c r="F5485" t="s">
        <v>45</v>
      </c>
      <c r="G5485" t="s">
        <v>21</v>
      </c>
      <c r="H5485" t="s">
        <v>15</v>
      </c>
      <c r="I5485" t="s">
        <v>46</v>
      </c>
      <c r="J5485">
        <v>8.2955718999999997E-2</v>
      </c>
      <c r="K5485"/>
      <c r="L5485" s="1">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K5486"/>
      <c r="L5486" s="1">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K5487"/>
      <c r="L5487" s="1">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K5488"/>
      <c r="L5488" s="1">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K5489"/>
      <c r="L5489" s="1">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s="1">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s="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K5492"/>
      <c r="L5492" s="1">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s="1">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s="1">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s="1">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s="1">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s="1">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s="1">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s="1">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s="1">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s="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s="1">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s="1">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s="1">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s="1">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s="1">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s="1">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s="1">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s="1">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K5510"/>
      <c r="L5510" s="1">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s="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s="1">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s="1">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s="1">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s="1">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s="1">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s="1">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s="1">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s="1">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s="1">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s="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s="1">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s="1">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s="1">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s="1">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s="1">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s="1">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s="1">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s="1">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s="1">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s="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s="1">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s="1">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s="1">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s="1">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s="1">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s="1">
        <v>231.89840000000001</v>
      </c>
      <c r="M5537">
        <v>2.5</v>
      </c>
    </row>
    <row r="5538" spans="1:13" x14ac:dyDescent="0.3">
      <c r="A5538" t="s">
        <v>17</v>
      </c>
      <c r="B5538">
        <v>5537</v>
      </c>
      <c r="C5538" t="s">
        <v>1523</v>
      </c>
      <c r="D5538" t="s">
        <v>48</v>
      </c>
      <c r="E5538">
        <v>2018</v>
      </c>
      <c r="F5538" t="s">
        <v>138</v>
      </c>
      <c r="G5538" t="s">
        <v>14</v>
      </c>
      <c r="H5538" t="s">
        <v>26</v>
      </c>
      <c r="I5538" t="s">
        <v>40</v>
      </c>
      <c r="J5538">
        <v>0</v>
      </c>
      <c r="K5538"/>
      <c r="L5538" s="1">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K5539"/>
      <c r="L5539" s="1">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s="1">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s="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s="1">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s="1">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s="1">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s="1">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s="1">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s="1">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s="1">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s="1">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s="1">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s="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s="1">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s="1">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s="1">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s="1">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s="1">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s="1">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s="1">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s="1">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s="1">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s="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s="1">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s="1">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s="1">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s="1">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s="1">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s="1">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s="1">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s="1">
        <v>261.291</v>
      </c>
      <c r="M5569">
        <v>2.5</v>
      </c>
    </row>
    <row r="5570" spans="1:13" x14ac:dyDescent="0.3">
      <c r="A5570" t="s">
        <v>17</v>
      </c>
      <c r="B5570">
        <v>5569</v>
      </c>
      <c r="C5570" t="s">
        <v>515</v>
      </c>
      <c r="D5570" t="s">
        <v>28</v>
      </c>
      <c r="E5570">
        <v>2018</v>
      </c>
      <c r="F5570" t="s">
        <v>45</v>
      </c>
      <c r="G5570" t="s">
        <v>21</v>
      </c>
      <c r="H5570" t="s">
        <v>15</v>
      </c>
      <c r="I5570" t="s">
        <v>46</v>
      </c>
      <c r="J5570">
        <v>9.7410706999999999E-2</v>
      </c>
      <c r="K5570"/>
      <c r="L5570" s="1">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K5571"/>
      <c r="L5571" s="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K5572"/>
      <c r="L5572" s="1">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s="1">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K5574"/>
      <c r="L5574" s="1">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K5575"/>
      <c r="L5575" s="1">
        <v>157.863</v>
      </c>
      <c r="M5575">
        <v>2.4</v>
      </c>
    </row>
    <row r="5576" spans="1:13" x14ac:dyDescent="0.3">
      <c r="A5576" t="s">
        <v>17</v>
      </c>
      <c r="B5576">
        <v>5575</v>
      </c>
      <c r="C5576" t="s">
        <v>392</v>
      </c>
      <c r="D5576" t="s">
        <v>32</v>
      </c>
      <c r="E5576">
        <v>2015</v>
      </c>
      <c r="F5576" t="s">
        <v>33</v>
      </c>
      <c r="G5576" t="s">
        <v>34</v>
      </c>
      <c r="H5576" t="s">
        <v>26</v>
      </c>
      <c r="I5576" t="s">
        <v>16</v>
      </c>
      <c r="J5576">
        <v>0</v>
      </c>
      <c r="K5576">
        <v>7.97</v>
      </c>
      <c r="L5576" s="1">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s="1">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s="1">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s="1">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s="1">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s="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s="1">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K5583"/>
      <c r="L5583" s="1">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s="1">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s="1">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K5586"/>
      <c r="L5586" s="1">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K5587"/>
      <c r="L5587" s="1">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s="1">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s="1">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s="1">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K5591"/>
      <c r="L5591" s="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s="1">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s="1">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s="1">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s="1">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s="1">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s="1">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s="1">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s="1">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s="1">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s="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s="1">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s="1">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s="1">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K5605"/>
      <c r="L5605" s="1">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K5606"/>
      <c r="L5606" s="1">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K5607"/>
      <c r="L5607" s="1">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K5608"/>
      <c r="L5608" s="1">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K5609"/>
      <c r="L5609" s="1">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s="1">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s="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s="1">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s="1">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s="1">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s="1">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s="1">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s="1">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K5618"/>
      <c r="L5618" s="1">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s="1">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s="1">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s="1">
        <v>108.25960000000001</v>
      </c>
      <c r="M5621">
        <v>2.1</v>
      </c>
    </row>
    <row r="5622" spans="1:13" x14ac:dyDescent="0.3">
      <c r="A5622" t="s">
        <v>10</v>
      </c>
      <c r="B5622">
        <v>5621</v>
      </c>
      <c r="C5622" t="s">
        <v>1533</v>
      </c>
      <c r="D5622" t="s">
        <v>24</v>
      </c>
      <c r="E5622">
        <v>2018</v>
      </c>
      <c r="F5622" t="s">
        <v>45</v>
      </c>
      <c r="G5622" t="s">
        <v>21</v>
      </c>
      <c r="H5622" t="s">
        <v>15</v>
      </c>
      <c r="I5622" t="s">
        <v>46</v>
      </c>
      <c r="J5622">
        <v>0</v>
      </c>
      <c r="K5622"/>
      <c r="L5622" s="1">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s="1">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s="1">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s="1">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s="1">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s="1">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s="1">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s="1">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s="1">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s="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s="1">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K5633"/>
      <c r="L5633" s="1">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s="1">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s="1">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s="1">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s="1">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s="1">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K5639"/>
      <c r="L5639" s="1">
        <v>219.7456</v>
      </c>
      <c r="M5639">
        <v>2</v>
      </c>
    </row>
    <row r="5640" spans="1:13" x14ac:dyDescent="0.3">
      <c r="A5640" t="s">
        <v>10</v>
      </c>
      <c r="B5640">
        <v>5639</v>
      </c>
      <c r="C5640" t="s">
        <v>595</v>
      </c>
      <c r="D5640" t="s">
        <v>95</v>
      </c>
      <c r="E5640">
        <v>2018</v>
      </c>
      <c r="F5640" t="s">
        <v>138</v>
      </c>
      <c r="G5640" t="s">
        <v>14</v>
      </c>
      <c r="H5640" t="s">
        <v>26</v>
      </c>
      <c r="I5640" t="s">
        <v>40</v>
      </c>
      <c r="J5640">
        <v>0.22460739900000001</v>
      </c>
      <c r="K5640"/>
      <c r="L5640" s="1">
        <v>223.1404</v>
      </c>
      <c r="M5640">
        <v>2</v>
      </c>
    </row>
    <row r="5641" spans="1:13" x14ac:dyDescent="0.3">
      <c r="A5641" t="s">
        <v>10</v>
      </c>
      <c r="B5641">
        <v>5640</v>
      </c>
      <c r="C5641" t="s">
        <v>582</v>
      </c>
      <c r="D5641" t="s">
        <v>54</v>
      </c>
      <c r="E5641">
        <v>2018</v>
      </c>
      <c r="F5641" t="s">
        <v>138</v>
      </c>
      <c r="G5641" t="s">
        <v>14</v>
      </c>
      <c r="H5641" t="s">
        <v>26</v>
      </c>
      <c r="I5641" t="s">
        <v>40</v>
      </c>
      <c r="J5641">
        <v>2.6420580999999999E-2</v>
      </c>
      <c r="K5641"/>
      <c r="L5641" s="1">
        <v>250.9408</v>
      </c>
      <c r="M5641">
        <v>2</v>
      </c>
    </row>
    <row r="5642" spans="1:13" x14ac:dyDescent="0.3">
      <c r="A5642" t="s">
        <v>10</v>
      </c>
      <c r="B5642">
        <v>5641</v>
      </c>
      <c r="C5642" t="s">
        <v>1321</v>
      </c>
      <c r="D5642" t="s">
        <v>48</v>
      </c>
      <c r="E5642">
        <v>2018</v>
      </c>
      <c r="F5642" t="s">
        <v>138</v>
      </c>
      <c r="G5642" t="s">
        <v>14</v>
      </c>
      <c r="H5642" t="s">
        <v>26</v>
      </c>
      <c r="I5642" t="s">
        <v>40</v>
      </c>
      <c r="J5642">
        <v>1.9153298999999999E-2</v>
      </c>
      <c r="K5642"/>
      <c r="L5642" s="1">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s="1">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s="1">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s="1">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s="1">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s="1">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s="1">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s="1">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s="1">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s="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s="1">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s="1">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s="1">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s="1">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s="1">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s="1">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s="1">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s="1">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s="1">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s="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s="1">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s="1">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s="1">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s="1">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s="1">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s="1">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s="1">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s="1">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s="1">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s="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s="1">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s="1">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s="1">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s="1">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s="1">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s="1">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s="1">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s="1">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s="1">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s="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s="1">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s="1">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s="1">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s="1">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s="1">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s="1">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s="1">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s="1">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s="1">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s="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K5692"/>
      <c r="L5692" s="1">
        <v>122.4098</v>
      </c>
      <c r="M5692">
        <v>2</v>
      </c>
    </row>
    <row r="5693" spans="1:13" x14ac:dyDescent="0.3">
      <c r="A5693" t="s">
        <v>17</v>
      </c>
      <c r="B5693">
        <v>5692</v>
      </c>
      <c r="C5693" t="s">
        <v>1037</v>
      </c>
      <c r="D5693" t="s">
        <v>24</v>
      </c>
      <c r="E5693">
        <v>2018</v>
      </c>
      <c r="F5693" t="s">
        <v>45</v>
      </c>
      <c r="G5693" t="s">
        <v>21</v>
      </c>
      <c r="H5693" t="s">
        <v>15</v>
      </c>
      <c r="I5693" t="s">
        <v>46</v>
      </c>
      <c r="J5693">
        <v>2.2457694E-2</v>
      </c>
      <c r="K5693"/>
      <c r="L5693" s="1">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K5694"/>
      <c r="L5694" s="1">
        <v>45.506</v>
      </c>
      <c r="M5694">
        <v>2</v>
      </c>
    </row>
    <row r="5695" spans="1:13" x14ac:dyDescent="0.3">
      <c r="A5695" t="s">
        <v>17</v>
      </c>
      <c r="B5695">
        <v>5694</v>
      </c>
      <c r="C5695" t="s">
        <v>1549</v>
      </c>
      <c r="D5695" t="s">
        <v>54</v>
      </c>
      <c r="E5695">
        <v>2018</v>
      </c>
      <c r="F5695" t="s">
        <v>45</v>
      </c>
      <c r="G5695" t="s">
        <v>21</v>
      </c>
      <c r="H5695" t="s">
        <v>15</v>
      </c>
      <c r="I5695" t="s">
        <v>46</v>
      </c>
      <c r="J5695">
        <v>9.7937252000000002E-2</v>
      </c>
      <c r="K5695"/>
      <c r="L5695" s="1">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K5696"/>
      <c r="L5696" s="1">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s="1">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s="1">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s="1">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s="1">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s="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s="1">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s="1">
        <v>192.4478</v>
      </c>
      <c r="M5703">
        <v>1.8</v>
      </c>
    </row>
    <row r="5704" spans="1:13" x14ac:dyDescent="0.3">
      <c r="A5704" t="s">
        <v>10</v>
      </c>
      <c r="B5704">
        <v>5703</v>
      </c>
      <c r="C5704" t="s">
        <v>312</v>
      </c>
      <c r="D5704" t="s">
        <v>28</v>
      </c>
      <c r="E5704">
        <v>2018</v>
      </c>
      <c r="F5704" t="s">
        <v>138</v>
      </c>
      <c r="G5704" t="s">
        <v>14</v>
      </c>
      <c r="H5704" t="s">
        <v>26</v>
      </c>
      <c r="I5704" t="s">
        <v>40</v>
      </c>
      <c r="J5704">
        <v>0.1263349</v>
      </c>
      <c r="K5704"/>
      <c r="L5704" s="1">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s="1">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s="1">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s="1">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s="1">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s="1">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s="1">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s="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K5712"/>
      <c r="L5712" s="1">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s="1">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s="1">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s="1">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s="1">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s="1">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s="1">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s="1">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s="1">
        <v>240.9196</v>
      </c>
      <c r="M5720">
        <v>1.5</v>
      </c>
    </row>
    <row r="5721" spans="1:13" x14ac:dyDescent="0.3">
      <c r="A5721" t="s">
        <v>17</v>
      </c>
      <c r="B5721">
        <v>5720</v>
      </c>
      <c r="C5721" t="s">
        <v>353</v>
      </c>
      <c r="D5721" t="s">
        <v>42</v>
      </c>
      <c r="E5721">
        <v>2018</v>
      </c>
      <c r="F5721" t="s">
        <v>45</v>
      </c>
      <c r="G5721" t="s">
        <v>21</v>
      </c>
      <c r="H5721" t="s">
        <v>15</v>
      </c>
      <c r="I5721" t="s">
        <v>46</v>
      </c>
      <c r="J5721">
        <v>1.6910913999999999E-2</v>
      </c>
      <c r="K5721"/>
      <c r="L5721" s="1">
        <v>96.641000000000005</v>
      </c>
      <c r="M5721">
        <v>1.5</v>
      </c>
    </row>
    <row r="5722" spans="1:13" x14ac:dyDescent="0.3">
      <c r="A5722" t="s">
        <v>10</v>
      </c>
      <c r="B5722">
        <v>5721</v>
      </c>
      <c r="C5722" t="s">
        <v>1255</v>
      </c>
      <c r="D5722" t="s">
        <v>24</v>
      </c>
      <c r="E5722">
        <v>2018</v>
      </c>
      <c r="F5722" t="s">
        <v>45</v>
      </c>
      <c r="G5722" t="s">
        <v>21</v>
      </c>
      <c r="H5722" t="s">
        <v>15</v>
      </c>
      <c r="I5722" t="s">
        <v>46</v>
      </c>
      <c r="J5722">
        <v>4.586701E-2</v>
      </c>
      <c r="K5722"/>
      <c r="L5722" s="1">
        <v>37.950600000000001</v>
      </c>
      <c r="M5722">
        <v>1.5</v>
      </c>
    </row>
    <row r="5723" spans="1:13" x14ac:dyDescent="0.3">
      <c r="A5723" t="s">
        <v>17</v>
      </c>
      <c r="B5723">
        <v>5722</v>
      </c>
      <c r="C5723" t="s">
        <v>1288</v>
      </c>
      <c r="D5723" t="s">
        <v>61</v>
      </c>
      <c r="E5723">
        <v>2018</v>
      </c>
      <c r="F5723" t="s">
        <v>45</v>
      </c>
      <c r="G5723" t="s">
        <v>21</v>
      </c>
      <c r="H5723" t="s">
        <v>15</v>
      </c>
      <c r="I5723" t="s">
        <v>46</v>
      </c>
      <c r="J5723">
        <v>0.122058364</v>
      </c>
      <c r="K5723"/>
      <c r="L5723" s="1">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s="1">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s="1">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s="1">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K5727"/>
      <c r="L5727" s="1">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s="1">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s="1">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s="1">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s="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s="1">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s="1">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s="1">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s="1">
        <v>182.82660000000001</v>
      </c>
      <c r="M5735">
        <v>1</v>
      </c>
    </row>
    <row r="5736" spans="1:13" x14ac:dyDescent="0.3">
      <c r="A5736" t="s">
        <v>17</v>
      </c>
      <c r="B5736">
        <v>5735</v>
      </c>
      <c r="C5736" t="s">
        <v>842</v>
      </c>
      <c r="D5736" t="s">
        <v>57</v>
      </c>
      <c r="E5736">
        <v>2018</v>
      </c>
      <c r="F5736" t="s">
        <v>45</v>
      </c>
      <c r="G5736" t="s">
        <v>21</v>
      </c>
      <c r="H5736" t="s">
        <v>15</v>
      </c>
      <c r="I5736" t="s">
        <v>46</v>
      </c>
      <c r="J5736">
        <v>0.110681931</v>
      </c>
      <c r="K5736"/>
      <c r="L5736" s="1">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s="1">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s="1">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s="1">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s="1">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s="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s="1">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s="1">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s="1">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s="1">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s="1">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s="1">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s="1">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K5749"/>
      <c r="L5749" s="1">
        <v>118.1808</v>
      </c>
      <c r="M5749">
        <v>1</v>
      </c>
    </row>
    <row r="5750" spans="1:13" x14ac:dyDescent="0.3">
      <c r="A5750" t="s">
        <v>10</v>
      </c>
      <c r="B5750">
        <v>5749</v>
      </c>
      <c r="C5750" t="s">
        <v>1544</v>
      </c>
      <c r="D5750" t="s">
        <v>95</v>
      </c>
      <c r="E5750">
        <v>2018</v>
      </c>
      <c r="F5750" t="s">
        <v>138</v>
      </c>
      <c r="G5750" t="s">
        <v>14</v>
      </c>
      <c r="H5750" t="s">
        <v>26</v>
      </c>
      <c r="I5750" t="s">
        <v>40</v>
      </c>
      <c r="J5750">
        <v>0.14136011800000001</v>
      </c>
      <c r="K5750"/>
      <c r="L5750" s="1">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K5751"/>
      <c r="L5751" s="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s="1">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s="1">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s="1">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s="1">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s="1">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s="1">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s="1">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s="1">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s="1">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s="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s="1">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s="1">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s="1">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s="1">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s="1">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s="1">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s="1">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s="1">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s="1">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s="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s="1">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s="1">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s="1">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s="1">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s="1">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s="1">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s="1">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s="1">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s="1">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s="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s="1">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s="1">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s="1">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s="1">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s="1">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s="1">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s="1">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s="1">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s="1">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s="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s="1">
        <v>127.6652</v>
      </c>
      <c r="M5792">
        <v>1</v>
      </c>
    </row>
    <row r="5793" spans="1:13" x14ac:dyDescent="0.3">
      <c r="A5793" t="s">
        <v>17</v>
      </c>
      <c r="B5793">
        <v>5792</v>
      </c>
      <c r="C5793" t="s">
        <v>800</v>
      </c>
      <c r="D5793" t="s">
        <v>32</v>
      </c>
      <c r="E5793">
        <v>2017</v>
      </c>
      <c r="F5793" t="s">
        <v>50</v>
      </c>
      <c r="G5793" t="s">
        <v>34</v>
      </c>
      <c r="H5793" t="s">
        <v>26</v>
      </c>
      <c r="I5793" t="s">
        <v>16</v>
      </c>
      <c r="J5793">
        <v>0</v>
      </c>
      <c r="K5793">
        <v>13.5</v>
      </c>
      <c r="L5793" s="1">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s="1">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s="1">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s="1">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s="1">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s="1">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s="1">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s="1">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s="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s="1">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s="1">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s="1">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s="1">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s="1">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s="1">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s="1">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s="1">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s="1">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s="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s="1">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s="1">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s="1">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s="1">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s="1">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s="1">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s="1">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s="1">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s="1">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s="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s="1">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s="1">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s="1">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s="1">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s="1">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s="1">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s="1">
        <v>93.512</v>
      </c>
      <c r="M5828">
        <v>1</v>
      </c>
    </row>
    <row r="5829" spans="1:13" x14ac:dyDescent="0.3">
      <c r="A5829" t="s">
        <v>17</v>
      </c>
      <c r="B5829">
        <v>5828</v>
      </c>
      <c r="C5829" t="s">
        <v>459</v>
      </c>
      <c r="D5829" t="s">
        <v>19</v>
      </c>
      <c r="E5829">
        <v>2018</v>
      </c>
      <c r="F5829" t="s">
        <v>45</v>
      </c>
      <c r="G5829" t="s">
        <v>21</v>
      </c>
      <c r="H5829" t="s">
        <v>15</v>
      </c>
      <c r="I5829" t="s">
        <v>46</v>
      </c>
      <c r="J5829">
        <v>1.6956266000000001E-2</v>
      </c>
      <c r="K5829"/>
      <c r="L5829" s="1">
        <v>109.3228</v>
      </c>
      <c r="M5829">
        <v>1</v>
      </c>
    </row>
    <row r="5830" spans="1:13" x14ac:dyDescent="0.3">
      <c r="A5830" t="s">
        <v>17</v>
      </c>
      <c r="B5830">
        <v>5829</v>
      </c>
      <c r="C5830" t="s">
        <v>1502</v>
      </c>
      <c r="D5830" t="s">
        <v>95</v>
      </c>
      <c r="E5830">
        <v>2018</v>
      </c>
      <c r="F5830" t="s">
        <v>45</v>
      </c>
      <c r="G5830" t="s">
        <v>21</v>
      </c>
      <c r="H5830" t="s">
        <v>15</v>
      </c>
      <c r="I5830" t="s">
        <v>46</v>
      </c>
      <c r="J5830">
        <v>0</v>
      </c>
      <c r="K5830"/>
      <c r="L5830" s="1">
        <v>196.50839999999999</v>
      </c>
      <c r="M5830">
        <v>1</v>
      </c>
    </row>
    <row r="5831" spans="1:13" x14ac:dyDescent="0.3">
      <c r="A5831" t="s">
        <v>17</v>
      </c>
      <c r="B5831">
        <v>5830</v>
      </c>
      <c r="C5831" t="s">
        <v>820</v>
      </c>
      <c r="D5831" t="s">
        <v>12</v>
      </c>
      <c r="E5831">
        <v>2018</v>
      </c>
      <c r="F5831" t="s">
        <v>45</v>
      </c>
      <c r="G5831" t="s">
        <v>21</v>
      </c>
      <c r="H5831" t="s">
        <v>15</v>
      </c>
      <c r="I5831" t="s">
        <v>46</v>
      </c>
      <c r="J5831">
        <v>2.5841875E-2</v>
      </c>
      <c r="K5831"/>
      <c r="L5831" s="1">
        <v>120.7414</v>
      </c>
      <c r="M5831">
        <v>1</v>
      </c>
    </row>
    <row r="5832" spans="1:13" x14ac:dyDescent="0.3">
      <c r="A5832" t="s">
        <v>17</v>
      </c>
      <c r="B5832">
        <v>5831</v>
      </c>
      <c r="C5832" t="s">
        <v>235</v>
      </c>
      <c r="D5832" t="s">
        <v>61</v>
      </c>
      <c r="E5832">
        <v>2018</v>
      </c>
      <c r="F5832" t="s">
        <v>45</v>
      </c>
      <c r="G5832" t="s">
        <v>21</v>
      </c>
      <c r="H5832" t="s">
        <v>15</v>
      </c>
      <c r="I5832" t="s">
        <v>46</v>
      </c>
      <c r="J5832">
        <v>0</v>
      </c>
      <c r="K5832"/>
      <c r="L5832" s="1">
        <v>171.7422</v>
      </c>
      <c r="M5832">
        <v>1</v>
      </c>
    </row>
    <row r="5833" spans="1:13" x14ac:dyDescent="0.3">
      <c r="A5833" t="s">
        <v>17</v>
      </c>
      <c r="B5833">
        <v>5832</v>
      </c>
      <c r="C5833" t="s">
        <v>1230</v>
      </c>
      <c r="D5833" t="s">
        <v>19</v>
      </c>
      <c r="E5833">
        <v>2018</v>
      </c>
      <c r="F5833" t="s">
        <v>45</v>
      </c>
      <c r="G5833" t="s">
        <v>21</v>
      </c>
      <c r="H5833" t="s">
        <v>15</v>
      </c>
      <c r="I5833" t="s">
        <v>46</v>
      </c>
      <c r="J5833">
        <v>5.4723716999999998E-2</v>
      </c>
      <c r="K5833"/>
      <c r="L5833" s="1">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K5834"/>
      <c r="L5834" s="1">
        <v>128.36779999999999</v>
      </c>
      <c r="M5834">
        <v>1</v>
      </c>
    </row>
    <row r="5835" spans="1:13" x14ac:dyDescent="0.3">
      <c r="A5835" t="s">
        <v>17</v>
      </c>
      <c r="B5835">
        <v>5834</v>
      </c>
      <c r="C5835" t="s">
        <v>306</v>
      </c>
      <c r="D5835" t="s">
        <v>48</v>
      </c>
      <c r="E5835">
        <v>2018</v>
      </c>
      <c r="F5835" t="s">
        <v>45</v>
      </c>
      <c r="G5835" t="s">
        <v>21</v>
      </c>
      <c r="H5835" t="s">
        <v>15</v>
      </c>
      <c r="I5835" t="s">
        <v>46</v>
      </c>
      <c r="J5835">
        <v>4.9066248E-2</v>
      </c>
      <c r="K5835"/>
      <c r="L5835" s="1">
        <v>192.4478</v>
      </c>
      <c r="M5835">
        <v>1</v>
      </c>
    </row>
    <row r="5836" spans="1:13" x14ac:dyDescent="0.3">
      <c r="A5836" t="s">
        <v>17</v>
      </c>
      <c r="B5836">
        <v>5835</v>
      </c>
      <c r="C5836" t="s">
        <v>430</v>
      </c>
      <c r="D5836" t="s">
        <v>48</v>
      </c>
      <c r="E5836">
        <v>2018</v>
      </c>
      <c r="F5836" t="s">
        <v>45</v>
      </c>
      <c r="G5836" t="s">
        <v>21</v>
      </c>
      <c r="H5836" t="s">
        <v>15</v>
      </c>
      <c r="I5836" t="s">
        <v>46</v>
      </c>
      <c r="J5836">
        <v>6.6611321000000001E-2</v>
      </c>
      <c r="K5836"/>
      <c r="L5836" s="1">
        <v>178.23699999999999</v>
      </c>
      <c r="M5836">
        <v>1</v>
      </c>
    </row>
    <row r="5837" spans="1:13" x14ac:dyDescent="0.3">
      <c r="A5837" t="s">
        <v>10</v>
      </c>
      <c r="B5837">
        <v>5836</v>
      </c>
      <c r="C5837" t="s">
        <v>1047</v>
      </c>
      <c r="D5837" t="s">
        <v>57</v>
      </c>
      <c r="E5837">
        <v>2018</v>
      </c>
      <c r="F5837" t="s">
        <v>45</v>
      </c>
      <c r="G5837" t="s">
        <v>21</v>
      </c>
      <c r="H5837" t="s">
        <v>15</v>
      </c>
      <c r="I5837" t="s">
        <v>46</v>
      </c>
      <c r="J5837">
        <v>6.3554289E-2</v>
      </c>
      <c r="K5837"/>
      <c r="L5837" s="1">
        <v>263.65940000000001</v>
      </c>
      <c r="M5837">
        <v>1</v>
      </c>
    </row>
    <row r="5838" spans="1:13" x14ac:dyDescent="0.3">
      <c r="A5838" t="s">
        <v>10</v>
      </c>
      <c r="B5838">
        <v>5837</v>
      </c>
      <c r="C5838" t="s">
        <v>190</v>
      </c>
      <c r="D5838" t="s">
        <v>24</v>
      </c>
      <c r="E5838">
        <v>2018</v>
      </c>
      <c r="F5838" t="s">
        <v>45</v>
      </c>
      <c r="G5838" t="s">
        <v>21</v>
      </c>
      <c r="H5838" t="s">
        <v>15</v>
      </c>
      <c r="I5838" t="s">
        <v>46</v>
      </c>
      <c r="J5838">
        <v>4.1370245E-2</v>
      </c>
      <c r="K5838"/>
      <c r="L5838" s="1">
        <v>46.2376</v>
      </c>
      <c r="M5838">
        <v>1</v>
      </c>
    </row>
    <row r="5839" spans="1:13" x14ac:dyDescent="0.3">
      <c r="A5839" t="s">
        <v>10</v>
      </c>
      <c r="B5839">
        <v>5838</v>
      </c>
      <c r="C5839" t="s">
        <v>1158</v>
      </c>
      <c r="D5839" t="s">
        <v>12</v>
      </c>
      <c r="E5839">
        <v>2018</v>
      </c>
      <c r="F5839" t="s">
        <v>45</v>
      </c>
      <c r="G5839" t="s">
        <v>21</v>
      </c>
      <c r="H5839" t="s">
        <v>15</v>
      </c>
      <c r="I5839" t="s">
        <v>46</v>
      </c>
      <c r="J5839">
        <v>0</v>
      </c>
      <c r="K5839"/>
      <c r="L5839" s="1">
        <v>120.5072</v>
      </c>
      <c r="M5839">
        <v>1</v>
      </c>
    </row>
    <row r="5840" spans="1:13" x14ac:dyDescent="0.3">
      <c r="A5840" t="s">
        <v>10</v>
      </c>
      <c r="B5840">
        <v>5839</v>
      </c>
      <c r="C5840" t="s">
        <v>649</v>
      </c>
      <c r="D5840" t="s">
        <v>48</v>
      </c>
      <c r="E5840">
        <v>2018</v>
      </c>
      <c r="F5840" t="s">
        <v>45</v>
      </c>
      <c r="G5840" t="s">
        <v>21</v>
      </c>
      <c r="H5840" t="s">
        <v>15</v>
      </c>
      <c r="I5840" t="s">
        <v>46</v>
      </c>
      <c r="J5840">
        <v>0.12887653700000001</v>
      </c>
      <c r="K5840"/>
      <c r="L5840" s="1">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s="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K5842"/>
      <c r="L5842" s="1">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s="1">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s="1">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s="1">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s="1">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s="1">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s="1">
        <v>180.33439999999999</v>
      </c>
      <c r="M5848">
        <v>4</v>
      </c>
    </row>
    <row r="5849" spans="1:13" x14ac:dyDescent="0.3">
      <c r="A5849" t="s">
        <v>17</v>
      </c>
      <c r="B5849">
        <v>5848</v>
      </c>
      <c r="C5849" t="s">
        <v>1116</v>
      </c>
      <c r="D5849" t="s">
        <v>42</v>
      </c>
      <c r="E5849">
        <v>2018</v>
      </c>
      <c r="F5849" t="s">
        <v>138</v>
      </c>
      <c r="G5849" t="s">
        <v>14</v>
      </c>
      <c r="H5849" t="s">
        <v>26</v>
      </c>
      <c r="I5849" t="s">
        <v>40</v>
      </c>
      <c r="J5849">
        <v>0.293417759</v>
      </c>
      <c r="K5849"/>
      <c r="L5849" s="1">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K5850"/>
      <c r="L5850" s="1">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s="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s="1">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s="1">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s="1">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s="1">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s="1">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K5857"/>
      <c r="L5857" s="1">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s="1">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K5859"/>
      <c r="L5859" s="1">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s="1">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s="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s="1">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s="1">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s="1">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s="1">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s="1">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s="1">
        <v>160.292</v>
      </c>
      <c r="M5867">
        <v>4</v>
      </c>
    </row>
    <row r="5868" spans="1:13" x14ac:dyDescent="0.3">
      <c r="A5868" t="s">
        <v>17</v>
      </c>
      <c r="B5868">
        <v>5867</v>
      </c>
      <c r="C5868" t="s">
        <v>890</v>
      </c>
      <c r="D5868" t="s">
        <v>19</v>
      </c>
      <c r="E5868">
        <v>2018</v>
      </c>
      <c r="F5868" t="s">
        <v>45</v>
      </c>
      <c r="G5868" t="s">
        <v>21</v>
      </c>
      <c r="H5868" t="s">
        <v>15</v>
      </c>
      <c r="I5868" t="s">
        <v>46</v>
      </c>
      <c r="J5868">
        <v>0.14433849300000001</v>
      </c>
      <c r="K5868"/>
      <c r="L5868" s="1">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K5869"/>
      <c r="L5869" s="1">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s="1">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s="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s="1">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s="1">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K5874"/>
      <c r="L5874" s="1">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s="1">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s="1">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s="1">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s="1">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s="1">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s="1">
        <v>115.18340000000001</v>
      </c>
      <c r="M5880">
        <v>4</v>
      </c>
    </row>
    <row r="5881" spans="1:13" x14ac:dyDescent="0.3">
      <c r="A5881" t="s">
        <v>10</v>
      </c>
      <c r="B5881">
        <v>5880</v>
      </c>
      <c r="C5881" t="s">
        <v>1015</v>
      </c>
      <c r="D5881" t="s">
        <v>32</v>
      </c>
      <c r="E5881">
        <v>2018</v>
      </c>
      <c r="F5881" t="s">
        <v>138</v>
      </c>
      <c r="G5881" t="s">
        <v>14</v>
      </c>
      <c r="H5881" t="s">
        <v>26</v>
      </c>
      <c r="I5881" t="s">
        <v>40</v>
      </c>
      <c r="J5881">
        <v>0.191013663</v>
      </c>
      <c r="K5881"/>
      <c r="L5881" s="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K5882"/>
      <c r="L5882" s="1">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s="1">
        <v>112.8176</v>
      </c>
      <c r="M5883">
        <v>4</v>
      </c>
    </row>
    <row r="5884" spans="1:13" x14ac:dyDescent="0.3">
      <c r="A5884" t="s">
        <v>10</v>
      </c>
      <c r="B5884">
        <v>5883</v>
      </c>
      <c r="C5884" t="s">
        <v>723</v>
      </c>
      <c r="D5884" t="s">
        <v>95</v>
      </c>
      <c r="E5884">
        <v>2018</v>
      </c>
      <c r="F5884" t="s">
        <v>45</v>
      </c>
      <c r="G5884" t="s">
        <v>21</v>
      </c>
      <c r="H5884" t="s">
        <v>15</v>
      </c>
      <c r="I5884" t="s">
        <v>46</v>
      </c>
      <c r="J5884">
        <v>4.9381406000000003E-2</v>
      </c>
      <c r="K5884"/>
      <c r="L5884" s="1">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s="1">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s="1">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s="1">
        <v>103.9648</v>
      </c>
      <c r="M5887">
        <v>4</v>
      </c>
    </row>
    <row r="5888" spans="1:13" x14ac:dyDescent="0.3">
      <c r="A5888" t="s">
        <v>17</v>
      </c>
      <c r="B5888">
        <v>5887</v>
      </c>
      <c r="C5888" t="s">
        <v>172</v>
      </c>
      <c r="D5888" t="s">
        <v>42</v>
      </c>
      <c r="E5888">
        <v>2018</v>
      </c>
      <c r="F5888" t="s">
        <v>45</v>
      </c>
      <c r="G5888" t="s">
        <v>21</v>
      </c>
      <c r="H5888" t="s">
        <v>15</v>
      </c>
      <c r="I5888" t="s">
        <v>46</v>
      </c>
      <c r="J5888">
        <v>1.5611079999999999E-2</v>
      </c>
      <c r="K5888"/>
      <c r="L5888" s="1">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s="1">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s="1">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s="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s="1">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s="1">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s="1">
        <v>32.99</v>
      </c>
      <c r="M5894">
        <v>4</v>
      </c>
    </row>
    <row r="5895" spans="1:13" x14ac:dyDescent="0.3">
      <c r="A5895" t="s">
        <v>17</v>
      </c>
      <c r="B5895">
        <v>5894</v>
      </c>
      <c r="C5895" t="s">
        <v>654</v>
      </c>
      <c r="D5895" t="s">
        <v>42</v>
      </c>
      <c r="E5895">
        <v>2011</v>
      </c>
      <c r="F5895" t="s">
        <v>39</v>
      </c>
      <c r="G5895" t="s">
        <v>21</v>
      </c>
      <c r="H5895" t="s">
        <v>26</v>
      </c>
      <c r="I5895" t="s">
        <v>40</v>
      </c>
      <c r="J5895">
        <v>0</v>
      </c>
      <c r="K5895">
        <v>14.65</v>
      </c>
      <c r="L5895" s="1">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s="1">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s="1">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K5898"/>
      <c r="L5898" s="1">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s="1">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K5900"/>
      <c r="L5900" s="1">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s="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K5902"/>
      <c r="L5902" s="1">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s="1">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s="1">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s="1">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s="1">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K5907"/>
      <c r="L5907" s="1">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s="1">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s="1">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s="1">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s="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s="1">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s="1">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s="1">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s="1">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s="1">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s="1">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s="1">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K5919"/>
      <c r="L5919" s="1">
        <v>101.0016</v>
      </c>
      <c r="M5919">
        <v>4</v>
      </c>
    </row>
    <row r="5920" spans="1:13" x14ac:dyDescent="0.3">
      <c r="A5920" t="s">
        <v>17</v>
      </c>
      <c r="B5920">
        <v>5919</v>
      </c>
      <c r="C5920" t="s">
        <v>739</v>
      </c>
      <c r="D5920" t="s">
        <v>12</v>
      </c>
      <c r="E5920">
        <v>2018</v>
      </c>
      <c r="F5920" t="s">
        <v>138</v>
      </c>
      <c r="G5920" t="s">
        <v>14</v>
      </c>
      <c r="H5920" t="s">
        <v>26</v>
      </c>
      <c r="I5920" t="s">
        <v>40</v>
      </c>
      <c r="J5920">
        <v>0.19377256800000001</v>
      </c>
      <c r="K5920"/>
      <c r="L5920" s="1">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s="1">
        <v>113.5518</v>
      </c>
      <c r="M5921">
        <v>4</v>
      </c>
    </row>
    <row r="5922" spans="1:13" x14ac:dyDescent="0.3">
      <c r="A5922" t="s">
        <v>10</v>
      </c>
      <c r="B5922">
        <v>5921</v>
      </c>
      <c r="C5922" t="s">
        <v>1344</v>
      </c>
      <c r="D5922" t="s">
        <v>74</v>
      </c>
      <c r="E5922">
        <v>2018</v>
      </c>
      <c r="F5922" t="s">
        <v>45</v>
      </c>
      <c r="G5922" t="s">
        <v>21</v>
      </c>
      <c r="H5922" t="s">
        <v>15</v>
      </c>
      <c r="I5922" t="s">
        <v>46</v>
      </c>
      <c r="J5922">
        <v>6.0371962000000001E-2</v>
      </c>
      <c r="K5922"/>
      <c r="L5922" s="1">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s="1">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s="1">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s="1">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s="1">
        <v>193.61619999999999</v>
      </c>
      <c r="M5926">
        <v>4</v>
      </c>
    </row>
    <row r="5927" spans="1:13" x14ac:dyDescent="0.3">
      <c r="A5927" t="s">
        <v>10</v>
      </c>
      <c r="B5927">
        <v>5926</v>
      </c>
      <c r="C5927" t="s">
        <v>394</v>
      </c>
      <c r="D5927" t="s">
        <v>28</v>
      </c>
      <c r="E5927">
        <v>2018</v>
      </c>
      <c r="F5927" t="s">
        <v>45</v>
      </c>
      <c r="G5927" t="s">
        <v>21</v>
      </c>
      <c r="H5927" t="s">
        <v>15</v>
      </c>
      <c r="I5927" t="s">
        <v>46</v>
      </c>
      <c r="J5927">
        <v>2.9943463E-2</v>
      </c>
      <c r="K5927"/>
      <c r="L5927" s="1">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s="1">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s="1">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s="1">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s="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s="1">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s="1">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s="1">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s="1">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K5936"/>
      <c r="L5936" s="1">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s="1">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K5938"/>
      <c r="L5938" s="1">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K5939"/>
      <c r="L5939" s="1">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s="1">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s="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s="1">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s="1">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s="1">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s="1">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s="1">
        <v>118.244</v>
      </c>
      <c r="M5946">
        <v>4</v>
      </c>
    </row>
    <row r="5947" spans="1:13" x14ac:dyDescent="0.3">
      <c r="A5947" t="s">
        <v>17</v>
      </c>
      <c r="B5947">
        <v>5946</v>
      </c>
      <c r="C5947" t="s">
        <v>845</v>
      </c>
      <c r="D5947" t="s">
        <v>67</v>
      </c>
      <c r="E5947">
        <v>2018</v>
      </c>
      <c r="F5947" t="s">
        <v>138</v>
      </c>
      <c r="G5947" t="s">
        <v>14</v>
      </c>
      <c r="H5947" t="s">
        <v>26</v>
      </c>
      <c r="I5947" t="s">
        <v>40</v>
      </c>
      <c r="J5947">
        <v>0.15374138500000001</v>
      </c>
      <c r="K5947"/>
      <c r="L5947" s="1">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s="1">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s="1">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s="1">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s="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s="1">
        <v>214.3218</v>
      </c>
      <c r="M5952">
        <v>4</v>
      </c>
    </row>
    <row r="5953" spans="1:13" x14ac:dyDescent="0.3">
      <c r="A5953" t="s">
        <v>10</v>
      </c>
      <c r="B5953">
        <v>5952</v>
      </c>
      <c r="C5953" t="s">
        <v>400</v>
      </c>
      <c r="D5953" t="s">
        <v>12</v>
      </c>
      <c r="E5953">
        <v>2018</v>
      </c>
      <c r="F5953" t="s">
        <v>45</v>
      </c>
      <c r="G5953" t="s">
        <v>21</v>
      </c>
      <c r="H5953" t="s">
        <v>15</v>
      </c>
      <c r="I5953" t="s">
        <v>46</v>
      </c>
      <c r="J5953">
        <v>1.4753811E-2</v>
      </c>
      <c r="K5953"/>
      <c r="L5953" s="1">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K5954"/>
      <c r="L5954" s="1">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s="1">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s="1">
        <v>96.409400000000005</v>
      </c>
      <c r="M5956">
        <v>4</v>
      </c>
    </row>
    <row r="5957" spans="1:13" x14ac:dyDescent="0.3">
      <c r="A5957" t="s">
        <v>10</v>
      </c>
      <c r="B5957">
        <v>5956</v>
      </c>
      <c r="C5957" t="s">
        <v>1495</v>
      </c>
      <c r="D5957" t="s">
        <v>48</v>
      </c>
      <c r="E5957">
        <v>2018</v>
      </c>
      <c r="F5957" t="s">
        <v>45</v>
      </c>
      <c r="G5957" t="s">
        <v>21</v>
      </c>
      <c r="H5957" t="s">
        <v>15</v>
      </c>
      <c r="I5957" t="s">
        <v>46</v>
      </c>
      <c r="J5957">
        <v>0</v>
      </c>
      <c r="K5957"/>
      <c r="L5957" s="1">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s="1">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s="1">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s="1">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K5961"/>
      <c r="L5961" s="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s="1">
        <v>212.8218</v>
      </c>
      <c r="M5962">
        <v>4</v>
      </c>
    </row>
    <row r="5963" spans="1:13" x14ac:dyDescent="0.3">
      <c r="A5963" t="s">
        <v>17</v>
      </c>
      <c r="B5963">
        <v>5962</v>
      </c>
      <c r="C5963" t="s">
        <v>912</v>
      </c>
      <c r="D5963" t="s">
        <v>61</v>
      </c>
      <c r="E5963">
        <v>2018</v>
      </c>
      <c r="F5963" t="s">
        <v>45</v>
      </c>
      <c r="G5963" t="s">
        <v>21</v>
      </c>
      <c r="H5963" t="s">
        <v>15</v>
      </c>
      <c r="I5963" t="s">
        <v>46</v>
      </c>
      <c r="J5963">
        <v>9.0427268000000005E-2</v>
      </c>
      <c r="K5963"/>
      <c r="L5963" s="1">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s="1">
        <v>59.456200000000003</v>
      </c>
      <c r="M5964">
        <v>4</v>
      </c>
    </row>
    <row r="5965" spans="1:13" x14ac:dyDescent="0.3">
      <c r="A5965" t="s">
        <v>35</v>
      </c>
      <c r="B5965">
        <v>5964</v>
      </c>
      <c r="C5965" t="s">
        <v>1374</v>
      </c>
      <c r="D5965" t="s">
        <v>57</v>
      </c>
      <c r="E5965">
        <v>2018</v>
      </c>
      <c r="F5965" t="s">
        <v>138</v>
      </c>
      <c r="G5965" t="s">
        <v>14</v>
      </c>
      <c r="H5965" t="s">
        <v>26</v>
      </c>
      <c r="I5965" t="s">
        <v>40</v>
      </c>
      <c r="J5965">
        <v>1.94158E-2</v>
      </c>
      <c r="K5965"/>
      <c r="L5965" s="1">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s="1">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s="1">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s="1">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s="1">
        <v>182.6266</v>
      </c>
      <c r="M5969">
        <v>4</v>
      </c>
    </row>
    <row r="5970" spans="1:13" x14ac:dyDescent="0.3">
      <c r="A5970" t="s">
        <v>10</v>
      </c>
      <c r="B5970">
        <v>5969</v>
      </c>
      <c r="C5970" t="s">
        <v>1380</v>
      </c>
      <c r="D5970" t="s">
        <v>54</v>
      </c>
      <c r="E5970">
        <v>2018</v>
      </c>
      <c r="F5970" t="s">
        <v>138</v>
      </c>
      <c r="G5970" t="s">
        <v>14</v>
      </c>
      <c r="H5970" t="s">
        <v>26</v>
      </c>
      <c r="I5970" t="s">
        <v>40</v>
      </c>
      <c r="J5970">
        <v>0.26412466899999998</v>
      </c>
      <c r="K5970"/>
      <c r="L5970" s="1">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s="1">
        <v>120.5124</v>
      </c>
      <c r="M5971">
        <v>4</v>
      </c>
    </row>
    <row r="5972" spans="1:13" x14ac:dyDescent="0.3">
      <c r="A5972" t="s">
        <v>10</v>
      </c>
      <c r="B5972">
        <v>5971</v>
      </c>
      <c r="C5972" t="s">
        <v>1485</v>
      </c>
      <c r="D5972" t="s">
        <v>48</v>
      </c>
      <c r="E5972">
        <v>2018</v>
      </c>
      <c r="F5972" t="s">
        <v>138</v>
      </c>
      <c r="G5972" t="s">
        <v>14</v>
      </c>
      <c r="H5972" t="s">
        <v>26</v>
      </c>
      <c r="I5972" t="s">
        <v>40</v>
      </c>
      <c r="J5972">
        <v>0.141975462</v>
      </c>
      <c r="K5972"/>
      <c r="L5972" s="1">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s="1">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s="1">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s="1">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s="1">
        <v>93.212000000000003</v>
      </c>
      <c r="M5976">
        <v>4</v>
      </c>
    </row>
    <row r="5977" spans="1:13" x14ac:dyDescent="0.3">
      <c r="A5977" t="s">
        <v>10</v>
      </c>
      <c r="B5977">
        <v>5976</v>
      </c>
      <c r="C5977" t="s">
        <v>1501</v>
      </c>
      <c r="D5977" t="s">
        <v>32</v>
      </c>
      <c r="E5977">
        <v>2018</v>
      </c>
      <c r="F5977" t="s">
        <v>45</v>
      </c>
      <c r="G5977" t="s">
        <v>21</v>
      </c>
      <c r="H5977" t="s">
        <v>15</v>
      </c>
      <c r="I5977" t="s">
        <v>46</v>
      </c>
      <c r="J5977">
        <v>2.4733134E-2</v>
      </c>
      <c r="K5977"/>
      <c r="L5977" s="1">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s="1">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s="1">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s="1">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s="1">
        <v>247.846</v>
      </c>
      <c r="M5981">
        <v>4</v>
      </c>
    </row>
    <row r="5982" spans="1:13" x14ac:dyDescent="0.3">
      <c r="A5982" t="s">
        <v>17</v>
      </c>
      <c r="B5982">
        <v>5981</v>
      </c>
      <c r="C5982" t="s">
        <v>1593</v>
      </c>
      <c r="D5982" t="s">
        <v>12</v>
      </c>
      <c r="E5982">
        <v>2018</v>
      </c>
      <c r="F5982" t="s">
        <v>45</v>
      </c>
      <c r="G5982" t="s">
        <v>21</v>
      </c>
      <c r="H5982" t="s">
        <v>15</v>
      </c>
      <c r="I5982" t="s">
        <v>46</v>
      </c>
      <c r="J5982">
        <v>0</v>
      </c>
      <c r="K5982"/>
      <c r="L5982" s="1">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s="1">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K5984"/>
      <c r="L5984" s="1">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s="1">
        <v>177.96600000000001</v>
      </c>
      <c r="M5985">
        <v>4</v>
      </c>
    </row>
    <row r="5986" spans="1:13" x14ac:dyDescent="0.3">
      <c r="A5986" t="s">
        <v>10</v>
      </c>
      <c r="B5986">
        <v>5985</v>
      </c>
      <c r="C5986" t="s">
        <v>1417</v>
      </c>
      <c r="D5986" t="s">
        <v>12</v>
      </c>
      <c r="E5986">
        <v>2018</v>
      </c>
      <c r="F5986" t="s">
        <v>45</v>
      </c>
      <c r="G5986" t="s">
        <v>21</v>
      </c>
      <c r="H5986" t="s">
        <v>15</v>
      </c>
      <c r="I5986" t="s">
        <v>46</v>
      </c>
      <c r="J5986">
        <v>0.100277876</v>
      </c>
      <c r="K5986"/>
      <c r="L5986" s="1">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s="1">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s="1">
        <v>144.0102</v>
      </c>
      <c r="M5988">
        <v>4</v>
      </c>
    </row>
    <row r="5989" spans="1:13" x14ac:dyDescent="0.3">
      <c r="A5989" t="s">
        <v>17</v>
      </c>
      <c r="B5989">
        <v>5988</v>
      </c>
      <c r="C5989" t="s">
        <v>1475</v>
      </c>
      <c r="D5989" t="s">
        <v>32</v>
      </c>
      <c r="E5989">
        <v>2018</v>
      </c>
      <c r="F5989" t="s">
        <v>138</v>
      </c>
      <c r="G5989" t="s">
        <v>14</v>
      </c>
      <c r="H5989" t="s">
        <v>26</v>
      </c>
      <c r="I5989" t="s">
        <v>40</v>
      </c>
      <c r="J5989">
        <v>8.7854925E-2</v>
      </c>
      <c r="K5989"/>
      <c r="L5989" s="1">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s="1">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s="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s="1">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s="1">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s="1">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s="1">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s="1">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s="1">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K5998"/>
      <c r="L5998" s="1">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s="1">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s="1">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K6001"/>
      <c r="L6001" s="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s="1">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s="1">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s="1">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s="1">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s="1">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s="1">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s="1">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K6009"/>
      <c r="L6009" s="1">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s="1">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s="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s="1">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s="1">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K6014"/>
      <c r="L6014" s="1">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s="1">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s="1">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s="1">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s="1">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s="1">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K6020"/>
      <c r="L6020" s="1">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s="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s="1">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s="1">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s="1">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s="1">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s="1">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s="1">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s="1">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s="1">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K6030"/>
      <c r="L6030" s="1">
        <v>174.83699999999999</v>
      </c>
      <c r="M6030">
        <v>4</v>
      </c>
    </row>
    <row r="6031" spans="1:13" x14ac:dyDescent="0.3">
      <c r="A6031" t="s">
        <v>17</v>
      </c>
      <c r="B6031">
        <v>6030</v>
      </c>
      <c r="C6031" t="s">
        <v>182</v>
      </c>
      <c r="D6031" t="s">
        <v>32</v>
      </c>
      <c r="E6031">
        <v>2018</v>
      </c>
      <c r="F6031" t="s">
        <v>45</v>
      </c>
      <c r="G6031" t="s">
        <v>21</v>
      </c>
      <c r="H6031" t="s">
        <v>15</v>
      </c>
      <c r="I6031" t="s">
        <v>46</v>
      </c>
      <c r="J6031">
        <v>0.107076832</v>
      </c>
      <c r="K6031"/>
      <c r="L6031" s="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s="1">
        <v>112.3886</v>
      </c>
      <c r="M6032">
        <v>4</v>
      </c>
    </row>
    <row r="6033" spans="1:13" x14ac:dyDescent="0.3">
      <c r="A6033" t="s">
        <v>10</v>
      </c>
      <c r="B6033">
        <v>6032</v>
      </c>
      <c r="C6033" t="s">
        <v>1270</v>
      </c>
      <c r="D6033" t="s">
        <v>24</v>
      </c>
      <c r="E6033">
        <v>2018</v>
      </c>
      <c r="F6033" t="s">
        <v>138</v>
      </c>
      <c r="G6033" t="s">
        <v>14</v>
      </c>
      <c r="H6033" t="s">
        <v>26</v>
      </c>
      <c r="I6033" t="s">
        <v>40</v>
      </c>
      <c r="J6033">
        <v>0</v>
      </c>
      <c r="K6033"/>
      <c r="L6033" s="1">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s="1">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s="1">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s="1">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s="1">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s="1">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s="1">
        <v>46.2744</v>
      </c>
      <c r="M6039">
        <v>4</v>
      </c>
    </row>
    <row r="6040" spans="1:13" x14ac:dyDescent="0.3">
      <c r="A6040" t="s">
        <v>17</v>
      </c>
      <c r="B6040">
        <v>6039</v>
      </c>
      <c r="C6040" t="s">
        <v>81</v>
      </c>
      <c r="D6040" t="s">
        <v>12</v>
      </c>
      <c r="E6040">
        <v>2011</v>
      </c>
      <c r="F6040" t="s">
        <v>39</v>
      </c>
      <c r="G6040" t="s">
        <v>21</v>
      </c>
      <c r="H6040" t="s">
        <v>15</v>
      </c>
      <c r="I6040" t="s">
        <v>40</v>
      </c>
      <c r="J6040">
        <v>0</v>
      </c>
      <c r="K6040">
        <v>11.8</v>
      </c>
      <c r="L6040" s="1">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s="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s="1">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s="1">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s="1">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s="1">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s="1">
        <v>105.3622</v>
      </c>
      <c r="M6046">
        <v>4</v>
      </c>
    </row>
    <row r="6047" spans="1:13" x14ac:dyDescent="0.3">
      <c r="A6047" t="s">
        <v>10</v>
      </c>
      <c r="B6047">
        <v>6046</v>
      </c>
      <c r="C6047" t="s">
        <v>401</v>
      </c>
      <c r="D6047" t="s">
        <v>54</v>
      </c>
      <c r="E6047">
        <v>2018</v>
      </c>
      <c r="F6047" t="s">
        <v>45</v>
      </c>
      <c r="G6047" t="s">
        <v>21</v>
      </c>
      <c r="H6047" t="s">
        <v>15</v>
      </c>
      <c r="I6047" t="s">
        <v>46</v>
      </c>
      <c r="J6047">
        <v>4.1779180999999999E-2</v>
      </c>
      <c r="K6047"/>
      <c r="L6047" s="1">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s="1">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s="1">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s="1">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s="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s="1">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s="1">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s="1">
        <v>127.402</v>
      </c>
      <c r="M6054">
        <v>4</v>
      </c>
    </row>
    <row r="6055" spans="1:13" x14ac:dyDescent="0.3">
      <c r="A6055" t="s">
        <v>10</v>
      </c>
      <c r="B6055">
        <v>6054</v>
      </c>
      <c r="C6055" t="s">
        <v>836</v>
      </c>
      <c r="D6055" t="s">
        <v>12</v>
      </c>
      <c r="E6055">
        <v>2018</v>
      </c>
      <c r="F6055" t="s">
        <v>45</v>
      </c>
      <c r="G6055" t="s">
        <v>21</v>
      </c>
      <c r="H6055" t="s">
        <v>15</v>
      </c>
      <c r="I6055" t="s">
        <v>46</v>
      </c>
      <c r="J6055">
        <v>6.8604502999999997E-2</v>
      </c>
      <c r="K6055"/>
      <c r="L6055" s="1">
        <v>197.3768</v>
      </c>
      <c r="M6055">
        <v>4</v>
      </c>
    </row>
    <row r="6056" spans="1:13" x14ac:dyDescent="0.3">
      <c r="A6056" t="s">
        <v>17</v>
      </c>
      <c r="B6056">
        <v>6055</v>
      </c>
      <c r="C6056" t="s">
        <v>687</v>
      </c>
      <c r="D6056" t="s">
        <v>42</v>
      </c>
      <c r="E6056">
        <v>2018</v>
      </c>
      <c r="F6056" t="s">
        <v>45</v>
      </c>
      <c r="G6056" t="s">
        <v>21</v>
      </c>
      <c r="H6056" t="s">
        <v>15</v>
      </c>
      <c r="I6056" t="s">
        <v>46</v>
      </c>
      <c r="J6056">
        <v>3.2948610000000003E-2</v>
      </c>
      <c r="K6056"/>
      <c r="L6056" s="1">
        <v>116.8124</v>
      </c>
      <c r="M6056">
        <v>4</v>
      </c>
    </row>
    <row r="6057" spans="1:13" x14ac:dyDescent="0.3">
      <c r="A6057" t="s">
        <v>17</v>
      </c>
      <c r="B6057">
        <v>6056</v>
      </c>
      <c r="C6057" t="s">
        <v>334</v>
      </c>
      <c r="D6057" t="s">
        <v>32</v>
      </c>
      <c r="E6057">
        <v>2018</v>
      </c>
      <c r="F6057" t="s">
        <v>45</v>
      </c>
      <c r="G6057" t="s">
        <v>21</v>
      </c>
      <c r="H6057" t="s">
        <v>15</v>
      </c>
      <c r="I6057" t="s">
        <v>46</v>
      </c>
      <c r="J6057">
        <v>1.4522363E-2</v>
      </c>
      <c r="K6057"/>
      <c r="L6057" s="1">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s="1">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s="1">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s="1">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s="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K6062"/>
      <c r="L6062" s="1">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s="1">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s="1">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s="1">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K6066"/>
      <c r="L6066" s="1">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s="1">
        <v>38.284799999999997</v>
      </c>
      <c r="M6067">
        <v>4</v>
      </c>
    </row>
    <row r="6068" spans="1:13" x14ac:dyDescent="0.3">
      <c r="A6068" t="s">
        <v>10</v>
      </c>
      <c r="B6068">
        <v>6067</v>
      </c>
      <c r="C6068" t="s">
        <v>1176</v>
      </c>
      <c r="D6068" t="s">
        <v>28</v>
      </c>
      <c r="E6068">
        <v>2018</v>
      </c>
      <c r="F6068" t="s">
        <v>45</v>
      </c>
      <c r="G6068" t="s">
        <v>21</v>
      </c>
      <c r="H6068" t="s">
        <v>15</v>
      </c>
      <c r="I6068" t="s">
        <v>46</v>
      </c>
      <c r="J6068">
        <v>0.133673087</v>
      </c>
      <c r="K6068"/>
      <c r="L6068" s="1">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s="1">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s="1">
        <v>173.6054</v>
      </c>
      <c r="M6070">
        <v>4</v>
      </c>
    </row>
    <row r="6071" spans="1:13" x14ac:dyDescent="0.3">
      <c r="A6071" t="s">
        <v>17</v>
      </c>
      <c r="B6071">
        <v>6070</v>
      </c>
      <c r="C6071" t="s">
        <v>1542</v>
      </c>
      <c r="D6071" t="s">
        <v>28</v>
      </c>
      <c r="E6071">
        <v>2018</v>
      </c>
      <c r="F6071" t="s">
        <v>45</v>
      </c>
      <c r="G6071" t="s">
        <v>21</v>
      </c>
      <c r="H6071" t="s">
        <v>15</v>
      </c>
      <c r="I6071" t="s">
        <v>46</v>
      </c>
      <c r="J6071">
        <v>4.4391148999999998E-2</v>
      </c>
      <c r="K6071"/>
      <c r="L6071" s="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s="1">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s="1">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s="1">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s="1">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s="1">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s="1">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s="1">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s="1">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s="1">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s="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s="1">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s="1">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s="1">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K6085"/>
      <c r="L6085" s="1">
        <v>153.4682</v>
      </c>
      <c r="M6085">
        <v>4</v>
      </c>
    </row>
    <row r="6086" spans="1:13" x14ac:dyDescent="0.3">
      <c r="A6086" t="s">
        <v>17</v>
      </c>
      <c r="B6086">
        <v>6085</v>
      </c>
      <c r="C6086" t="s">
        <v>94</v>
      </c>
      <c r="D6086" t="s">
        <v>95</v>
      </c>
      <c r="E6086">
        <v>2018</v>
      </c>
      <c r="F6086" t="s">
        <v>45</v>
      </c>
      <c r="G6086" t="s">
        <v>21</v>
      </c>
      <c r="H6086" t="s">
        <v>15</v>
      </c>
      <c r="I6086" t="s">
        <v>46</v>
      </c>
      <c r="J6086">
        <v>1.4560297E-2</v>
      </c>
      <c r="K6086"/>
      <c r="L6086" s="1">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K6087"/>
      <c r="L6087" s="1">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s="1">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s="1">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s="1">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s="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s="1">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s="1">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K6094"/>
      <c r="L6094" s="1">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K6095"/>
      <c r="L6095" s="1">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s="1">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s="1">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s="1">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K6099"/>
      <c r="L6099" s="1">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s="1">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s="1">
        <v>143.5444</v>
      </c>
      <c r="M6101">
        <v>4</v>
      </c>
    </row>
    <row r="6102" spans="1:13" x14ac:dyDescent="0.3">
      <c r="A6102" t="s">
        <v>10</v>
      </c>
      <c r="B6102">
        <v>6101</v>
      </c>
      <c r="C6102" t="s">
        <v>1367</v>
      </c>
      <c r="D6102" t="s">
        <v>24</v>
      </c>
      <c r="E6102">
        <v>2018</v>
      </c>
      <c r="F6102" t="s">
        <v>45</v>
      </c>
      <c r="G6102" t="s">
        <v>21</v>
      </c>
      <c r="H6102" t="s">
        <v>15</v>
      </c>
      <c r="I6102" t="s">
        <v>46</v>
      </c>
      <c r="J6102">
        <v>7.8547351000000001E-2</v>
      </c>
      <c r="K6102"/>
      <c r="L6102" s="1">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s="1">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s="1">
        <v>195.4136</v>
      </c>
      <c r="M6104">
        <v>4</v>
      </c>
    </row>
    <row r="6105" spans="1:13" x14ac:dyDescent="0.3">
      <c r="A6105" t="s">
        <v>17</v>
      </c>
      <c r="B6105">
        <v>6104</v>
      </c>
      <c r="C6105" t="s">
        <v>460</v>
      </c>
      <c r="D6105" t="s">
        <v>64</v>
      </c>
      <c r="E6105">
        <v>2018</v>
      </c>
      <c r="F6105" t="s">
        <v>45</v>
      </c>
      <c r="G6105" t="s">
        <v>21</v>
      </c>
      <c r="H6105" t="s">
        <v>15</v>
      </c>
      <c r="I6105" t="s">
        <v>46</v>
      </c>
      <c r="J6105">
        <v>4.7008497000000003E-2</v>
      </c>
      <c r="K6105"/>
      <c r="L6105" s="1">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s="1">
        <v>87.185599999999994</v>
      </c>
      <c r="M6106">
        <v>4</v>
      </c>
    </row>
    <row r="6107" spans="1:13" x14ac:dyDescent="0.3">
      <c r="A6107" t="s">
        <v>17</v>
      </c>
      <c r="B6107">
        <v>6106</v>
      </c>
      <c r="C6107" t="s">
        <v>384</v>
      </c>
      <c r="D6107" t="s">
        <v>54</v>
      </c>
      <c r="E6107">
        <v>2018</v>
      </c>
      <c r="F6107" t="s">
        <v>138</v>
      </c>
      <c r="G6107" t="s">
        <v>14</v>
      </c>
      <c r="H6107" t="s">
        <v>26</v>
      </c>
      <c r="I6107" t="s">
        <v>40</v>
      </c>
      <c r="J6107">
        <v>4.5105407E-2</v>
      </c>
      <c r="K6107"/>
      <c r="L6107" s="1">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s="1">
        <v>59.3536</v>
      </c>
      <c r="M6108">
        <v>4</v>
      </c>
    </row>
    <row r="6109" spans="1:13" x14ac:dyDescent="0.3">
      <c r="A6109" t="s">
        <v>10</v>
      </c>
      <c r="B6109">
        <v>6108</v>
      </c>
      <c r="C6109" t="s">
        <v>783</v>
      </c>
      <c r="D6109" t="s">
        <v>12</v>
      </c>
      <c r="E6109">
        <v>2018</v>
      </c>
      <c r="F6109" t="s">
        <v>138</v>
      </c>
      <c r="G6109" t="s">
        <v>14</v>
      </c>
      <c r="H6109" t="s">
        <v>26</v>
      </c>
      <c r="I6109" t="s">
        <v>40</v>
      </c>
      <c r="J6109">
        <v>0.11491654599999999</v>
      </c>
      <c r="K6109"/>
      <c r="L6109" s="1">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s="1">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K6111"/>
      <c r="L6111" s="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K6112"/>
      <c r="L6112" s="1">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s="1">
        <v>197.511</v>
      </c>
      <c r="M6113">
        <v>4</v>
      </c>
    </row>
    <row r="6114" spans="1:13" x14ac:dyDescent="0.3">
      <c r="A6114" t="s">
        <v>17</v>
      </c>
      <c r="B6114">
        <v>6113</v>
      </c>
      <c r="C6114" t="s">
        <v>106</v>
      </c>
      <c r="D6114" t="s">
        <v>61</v>
      </c>
      <c r="E6114">
        <v>2018</v>
      </c>
      <c r="F6114" t="s">
        <v>138</v>
      </c>
      <c r="G6114" t="s">
        <v>14</v>
      </c>
      <c r="H6114" t="s">
        <v>26</v>
      </c>
      <c r="I6114" t="s">
        <v>40</v>
      </c>
      <c r="J6114">
        <v>6.2892909999999998E-3</v>
      </c>
      <c r="K6114"/>
      <c r="L6114" s="1">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s="1">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s="1">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s="1">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s="1">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s="1">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s="1">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s="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s="1">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s="1">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K6124"/>
      <c r="L6124" s="1">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s="1">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s="1">
        <v>263.05680000000001</v>
      </c>
      <c r="M6126">
        <v>4</v>
      </c>
    </row>
    <row r="6127" spans="1:13" x14ac:dyDescent="0.3">
      <c r="A6127" t="s">
        <v>17</v>
      </c>
      <c r="B6127">
        <v>6126</v>
      </c>
      <c r="C6127" t="s">
        <v>1231</v>
      </c>
      <c r="D6127" t="s">
        <v>95</v>
      </c>
      <c r="E6127">
        <v>2018</v>
      </c>
      <c r="F6127" t="s">
        <v>138</v>
      </c>
      <c r="G6127" t="s">
        <v>14</v>
      </c>
      <c r="H6127" t="s">
        <v>26</v>
      </c>
      <c r="I6127" t="s">
        <v>40</v>
      </c>
      <c r="J6127">
        <v>0</v>
      </c>
      <c r="K6127"/>
      <c r="L6127" s="1">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s="1">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s="1">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s="1">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s="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s="1">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s="1">
        <v>224.77199999999999</v>
      </c>
      <c r="M6133">
        <v>4</v>
      </c>
    </row>
    <row r="6134" spans="1:13" x14ac:dyDescent="0.3">
      <c r="A6134" t="s">
        <v>17</v>
      </c>
      <c r="B6134">
        <v>6133</v>
      </c>
      <c r="C6134" t="s">
        <v>537</v>
      </c>
      <c r="D6134" t="s">
        <v>28</v>
      </c>
      <c r="E6134">
        <v>2018</v>
      </c>
      <c r="F6134" t="s">
        <v>138</v>
      </c>
      <c r="G6134" t="s">
        <v>14</v>
      </c>
      <c r="H6134" t="s">
        <v>26</v>
      </c>
      <c r="I6134" t="s">
        <v>40</v>
      </c>
      <c r="J6134">
        <v>0.14453827</v>
      </c>
      <c r="K6134"/>
      <c r="L6134" s="1">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s="1">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s="1">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s="1">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K6138"/>
      <c r="L6138" s="1">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K6139"/>
      <c r="L6139" s="1">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s="1">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s="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s="1">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s="1">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s="1">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s="1">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s="1">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s="1">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s="1">
        <v>46.7744</v>
      </c>
      <c r="M6148">
        <v>4</v>
      </c>
    </row>
    <row r="6149" spans="1:13" x14ac:dyDescent="0.3">
      <c r="A6149" t="s">
        <v>17</v>
      </c>
      <c r="B6149">
        <v>6148</v>
      </c>
      <c r="C6149" t="s">
        <v>641</v>
      </c>
      <c r="D6149" t="s">
        <v>48</v>
      </c>
      <c r="E6149">
        <v>2018</v>
      </c>
      <c r="F6149" t="s">
        <v>138</v>
      </c>
      <c r="G6149" t="s">
        <v>14</v>
      </c>
      <c r="H6149" t="s">
        <v>26</v>
      </c>
      <c r="I6149" t="s">
        <v>40</v>
      </c>
      <c r="J6149">
        <v>0.16335022099999999</v>
      </c>
      <c r="K6149"/>
      <c r="L6149" s="1">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s="1">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s="1">
        <v>123.473</v>
      </c>
      <c r="M6151">
        <v>4</v>
      </c>
    </row>
    <row r="6152" spans="1:13" x14ac:dyDescent="0.3">
      <c r="A6152" t="s">
        <v>10</v>
      </c>
      <c r="B6152">
        <v>6151</v>
      </c>
      <c r="C6152" t="s">
        <v>1295</v>
      </c>
      <c r="D6152" t="s">
        <v>12</v>
      </c>
      <c r="E6152">
        <v>2018</v>
      </c>
      <c r="F6152" t="s">
        <v>45</v>
      </c>
      <c r="G6152" t="s">
        <v>21</v>
      </c>
      <c r="H6152" t="s">
        <v>15</v>
      </c>
      <c r="I6152" t="s">
        <v>46</v>
      </c>
      <c r="J6152">
        <v>0.15528831000000001</v>
      </c>
      <c r="K6152"/>
      <c r="L6152" s="1">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s="1">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s="1">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s="1">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s="1">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s="1">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s="1">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s="1">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s="1">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s="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s="1">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s="1">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s="1">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s="1">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s="1">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s="1">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s="1">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s="1">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s="1">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s="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s="1">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s="1">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s="1">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s="1">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s="1">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s="1">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s="1">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s="1">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s="1">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s="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s="1">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s="1">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s="1">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s="1">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s="1">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s="1">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s="1">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s="1">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s="1">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s="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s="1">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s="1">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s="1">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s="1">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s="1">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s="1">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s="1">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s="1">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s="1">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s="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s="1">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s="1">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s="1">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s="1">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s="1">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s="1">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s="1">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s="1">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s="1">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s="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s="1">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s="1">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s="1">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s="1">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s="1">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s="1">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s="1">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s="1">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s="1">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s="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s="1">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s="1">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s="1">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s="1">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s="1">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s="1">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s="1">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s="1">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s="1">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s="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s="1">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s="1">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s="1">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s="1">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s="1">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s="1">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s="1">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s="1">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s="1">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s="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s="1">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s="1">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s="1">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s="1">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s="1">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s="1">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s="1">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s="1">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s="1">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s="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s="1">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s="1">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s="1">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s="1">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s="1">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s="1">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s="1">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s="1">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s="1">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s="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s="1">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s="1">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s="1">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s="1">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s="1">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s="1">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s="1">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s="1">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s="1">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s="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s="1">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s="1">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s="1">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s="1">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s="1">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s="1">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s="1">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s="1">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s="1">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s="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s="1">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s="1">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s="1">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s="1">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s="1">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s="1">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s="1">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s="1">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s="1">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s="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s="1">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s="1">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s="1">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s="1">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s="1">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s="1">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s="1">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s="1">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s="1">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s="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s="1">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s="1">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s="1">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s="1">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s="1">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s="1">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s="1">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s="1">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s="1">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s="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s="1">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s="1">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s="1">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s="1">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s="1">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s="1">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s="1">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s="1">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s="1">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s="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s="1">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s="1">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s="1">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s="1">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s="1">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s="1">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s="1">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s="1">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s="1">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s="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s="1">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s="1">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s="1">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s="1">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s="1">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s="1">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s="1">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s="1">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s="1">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s="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s="1">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s="1">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s="1">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s="1">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s="1">
        <v>155.8288</v>
      </c>
      <c r="M6346">
        <v>4</v>
      </c>
    </row>
    <row r="6347" spans="1:13" x14ac:dyDescent="0.3">
      <c r="A6347" t="s">
        <v>10</v>
      </c>
      <c r="B6347">
        <v>6346</v>
      </c>
      <c r="C6347" t="s">
        <v>1090</v>
      </c>
      <c r="D6347" t="s">
        <v>57</v>
      </c>
      <c r="E6347">
        <v>2012</v>
      </c>
      <c r="F6347" t="s">
        <v>13</v>
      </c>
      <c r="G6347" t="s">
        <v>14</v>
      </c>
      <c r="H6347" t="s">
        <v>15</v>
      </c>
      <c r="I6347" t="s">
        <v>16</v>
      </c>
      <c r="J6347">
        <v>0</v>
      </c>
      <c r="K6347">
        <v>8.6</v>
      </c>
      <c r="L6347" s="1">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s="1">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s="1">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s="1">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s="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s="1">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s="1">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s="1">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s="1">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s="1">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s="1">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s="1">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s="1">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s="1">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s="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s="1">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s="1">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s="1">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s="1">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s="1">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s="1">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s="1">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s="1">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s="1">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s="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s="1">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s="1">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s="1">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s="1">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s="1">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s="1">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s="1">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s="1">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s="1">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s="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s="1">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s="1">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s="1">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s="1">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s="1">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s="1">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s="1">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s="1">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s="1">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s="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s="1">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s="1">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s="1">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s="1">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s="1">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s="1">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s="1">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s="1">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s="1">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s="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s="1">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s="1">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s="1">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s="1">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s="1">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s="1">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s="1">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s="1">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s="1">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s="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s="1">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s="1">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s="1">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s="1">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s="1">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s="1">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s="1">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s="1">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s="1">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s="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s="1">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s="1">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s="1">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K6425"/>
      <c r="L6425" s="1">
        <v>105.099</v>
      </c>
      <c r="M6425">
        <v>4</v>
      </c>
    </row>
    <row r="6426" spans="1:13" x14ac:dyDescent="0.3">
      <c r="A6426" t="s">
        <v>17</v>
      </c>
      <c r="B6426">
        <v>6425</v>
      </c>
      <c r="C6426" t="s">
        <v>668</v>
      </c>
      <c r="D6426" t="s">
        <v>12</v>
      </c>
      <c r="E6426">
        <v>2018</v>
      </c>
      <c r="F6426" t="s">
        <v>138</v>
      </c>
      <c r="G6426" t="s">
        <v>14</v>
      </c>
      <c r="H6426" t="s">
        <v>26</v>
      </c>
      <c r="I6426" t="s">
        <v>40</v>
      </c>
      <c r="J6426">
        <v>0</v>
      </c>
      <c r="K6426"/>
      <c r="L6426" s="1">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K6427"/>
      <c r="L6427" s="1">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K6428"/>
      <c r="L6428" s="1">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K6429"/>
      <c r="L6429" s="1">
        <v>105.5622</v>
      </c>
      <c r="M6429">
        <v>4</v>
      </c>
    </row>
    <row r="6430" spans="1:13" x14ac:dyDescent="0.3">
      <c r="A6430" t="s">
        <v>17</v>
      </c>
      <c r="B6430">
        <v>6429</v>
      </c>
      <c r="C6430" t="s">
        <v>1242</v>
      </c>
      <c r="D6430" t="s">
        <v>32</v>
      </c>
      <c r="E6430">
        <v>2018</v>
      </c>
      <c r="F6430" t="s">
        <v>138</v>
      </c>
      <c r="G6430" t="s">
        <v>14</v>
      </c>
      <c r="H6430" t="s">
        <v>26</v>
      </c>
      <c r="I6430" t="s">
        <v>40</v>
      </c>
      <c r="J6430">
        <v>0</v>
      </c>
      <c r="K6430"/>
      <c r="L6430" s="1">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K6431"/>
      <c r="L6431" s="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K6432"/>
      <c r="L6432" s="1">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K6433"/>
      <c r="L6433" s="1">
        <v>107.128</v>
      </c>
      <c r="M6433">
        <v>4</v>
      </c>
    </row>
    <row r="6434" spans="1:13" x14ac:dyDescent="0.3">
      <c r="A6434" t="s">
        <v>17</v>
      </c>
      <c r="B6434">
        <v>6433</v>
      </c>
      <c r="C6434" t="s">
        <v>478</v>
      </c>
      <c r="D6434" t="s">
        <v>95</v>
      </c>
      <c r="E6434">
        <v>2018</v>
      </c>
      <c r="F6434" t="s">
        <v>138</v>
      </c>
      <c r="G6434" t="s">
        <v>14</v>
      </c>
      <c r="H6434" t="s">
        <v>26</v>
      </c>
      <c r="I6434" t="s">
        <v>40</v>
      </c>
      <c r="J6434">
        <v>0.105893301</v>
      </c>
      <c r="K6434"/>
      <c r="L6434" s="1">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K6435"/>
      <c r="L6435" s="1">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K6436"/>
      <c r="L6436" s="1">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K6437"/>
      <c r="L6437" s="1">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K6438"/>
      <c r="L6438" s="1">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K6439"/>
      <c r="L6439" s="1">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K6440"/>
      <c r="L6440" s="1">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K6441"/>
      <c r="L6441" s="1">
        <v>121.7414</v>
      </c>
      <c r="M6441">
        <v>4</v>
      </c>
    </row>
    <row r="6442" spans="1:13" x14ac:dyDescent="0.3">
      <c r="A6442" t="s">
        <v>17</v>
      </c>
      <c r="B6442">
        <v>6441</v>
      </c>
      <c r="C6442" t="s">
        <v>343</v>
      </c>
      <c r="D6442" t="s">
        <v>57</v>
      </c>
      <c r="E6442">
        <v>2018</v>
      </c>
      <c r="F6442" t="s">
        <v>138</v>
      </c>
      <c r="G6442" t="s">
        <v>14</v>
      </c>
      <c r="H6442" t="s">
        <v>26</v>
      </c>
      <c r="I6442" t="s">
        <v>40</v>
      </c>
      <c r="J6442">
        <v>3.627089E-2</v>
      </c>
      <c r="K6442"/>
      <c r="L6442" s="1">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K6443"/>
      <c r="L6443" s="1">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K6444"/>
      <c r="L6444" s="1">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K6445"/>
      <c r="L6445" s="1">
        <v>89.019800000000004</v>
      </c>
      <c r="M6445">
        <v>4</v>
      </c>
    </row>
    <row r="6446" spans="1:13" x14ac:dyDescent="0.3">
      <c r="A6446" t="s">
        <v>17</v>
      </c>
      <c r="B6446">
        <v>6445</v>
      </c>
      <c r="C6446" t="s">
        <v>1312</v>
      </c>
      <c r="D6446" t="s">
        <v>28</v>
      </c>
      <c r="E6446">
        <v>2018</v>
      </c>
      <c r="F6446" t="s">
        <v>138</v>
      </c>
      <c r="G6446" t="s">
        <v>14</v>
      </c>
      <c r="H6446" t="s">
        <v>26</v>
      </c>
      <c r="I6446" t="s">
        <v>40</v>
      </c>
      <c r="J6446">
        <v>3.2516546E-2</v>
      </c>
      <c r="K6446"/>
      <c r="L6446" s="1">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K6447"/>
      <c r="L6447" s="1">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K6448"/>
      <c r="L6448" s="1">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K6449"/>
      <c r="L6449" s="1">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K6450"/>
      <c r="L6450" s="1">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K6451"/>
      <c r="L6451" s="1">
        <v>145.0128</v>
      </c>
      <c r="M6451">
        <v>4</v>
      </c>
    </row>
    <row r="6452" spans="1:13" x14ac:dyDescent="0.3">
      <c r="A6452" t="s">
        <v>17</v>
      </c>
      <c r="B6452">
        <v>6451</v>
      </c>
      <c r="C6452" t="s">
        <v>1515</v>
      </c>
      <c r="D6452" t="s">
        <v>67</v>
      </c>
      <c r="E6452">
        <v>2018</v>
      </c>
      <c r="F6452" t="s">
        <v>138</v>
      </c>
      <c r="G6452" t="s">
        <v>14</v>
      </c>
      <c r="H6452" t="s">
        <v>26</v>
      </c>
      <c r="I6452" t="s">
        <v>40</v>
      </c>
      <c r="J6452">
        <v>0.30473738700000003</v>
      </c>
      <c r="K6452"/>
      <c r="L6452" s="1">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K6453"/>
      <c r="L6453" s="1">
        <v>54.995600000000003</v>
      </c>
      <c r="M6453">
        <v>4</v>
      </c>
    </row>
    <row r="6454" spans="1:13" x14ac:dyDescent="0.3">
      <c r="A6454" t="s">
        <v>17</v>
      </c>
      <c r="B6454">
        <v>6453</v>
      </c>
      <c r="C6454" t="s">
        <v>853</v>
      </c>
      <c r="D6454" t="s">
        <v>67</v>
      </c>
      <c r="E6454">
        <v>2018</v>
      </c>
      <c r="F6454" t="s">
        <v>138</v>
      </c>
      <c r="G6454" t="s">
        <v>14</v>
      </c>
      <c r="H6454" t="s">
        <v>26</v>
      </c>
      <c r="I6454" t="s">
        <v>40</v>
      </c>
      <c r="J6454">
        <v>1.4008751E-2</v>
      </c>
      <c r="K6454"/>
      <c r="L6454" s="1">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K6455"/>
      <c r="L6455" s="1">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K6456"/>
      <c r="L6456" s="1">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K6457"/>
      <c r="L6457" s="1">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K6458"/>
      <c r="L6458" s="1">
        <v>206.7954</v>
      </c>
      <c r="M6458">
        <v>4</v>
      </c>
    </row>
    <row r="6459" spans="1:13" x14ac:dyDescent="0.3">
      <c r="A6459" t="s">
        <v>17</v>
      </c>
      <c r="B6459">
        <v>6458</v>
      </c>
      <c r="C6459" t="s">
        <v>1556</v>
      </c>
      <c r="D6459" t="s">
        <v>24</v>
      </c>
      <c r="E6459">
        <v>2018</v>
      </c>
      <c r="F6459" t="s">
        <v>138</v>
      </c>
      <c r="G6459" t="s">
        <v>14</v>
      </c>
      <c r="H6459" t="s">
        <v>26</v>
      </c>
      <c r="I6459" t="s">
        <v>40</v>
      </c>
      <c r="J6459">
        <v>1.0615026E-2</v>
      </c>
      <c r="K6459"/>
      <c r="L6459" s="1">
        <v>185.18979999999999</v>
      </c>
      <c r="M6459">
        <v>4</v>
      </c>
    </row>
    <row r="6460" spans="1:13" x14ac:dyDescent="0.3">
      <c r="A6460" t="s">
        <v>17</v>
      </c>
      <c r="B6460">
        <v>6459</v>
      </c>
      <c r="C6460" t="s">
        <v>1278</v>
      </c>
      <c r="D6460" t="s">
        <v>24</v>
      </c>
      <c r="E6460">
        <v>2018</v>
      </c>
      <c r="F6460" t="s">
        <v>138</v>
      </c>
      <c r="G6460" t="s">
        <v>14</v>
      </c>
      <c r="H6460" t="s">
        <v>26</v>
      </c>
      <c r="I6460" t="s">
        <v>40</v>
      </c>
      <c r="J6460">
        <v>2.4546148E-2</v>
      </c>
      <c r="K6460"/>
      <c r="L6460" s="1">
        <v>34.619</v>
      </c>
      <c r="M6460">
        <v>4</v>
      </c>
    </row>
    <row r="6461" spans="1:13" x14ac:dyDescent="0.3">
      <c r="A6461" t="s">
        <v>17</v>
      </c>
      <c r="B6461">
        <v>6460</v>
      </c>
      <c r="C6461" t="s">
        <v>408</v>
      </c>
      <c r="D6461" t="s">
        <v>24</v>
      </c>
      <c r="E6461">
        <v>2018</v>
      </c>
      <c r="F6461" t="s">
        <v>138</v>
      </c>
      <c r="G6461" t="s">
        <v>14</v>
      </c>
      <c r="H6461" t="s">
        <v>26</v>
      </c>
      <c r="I6461" t="s">
        <v>40</v>
      </c>
      <c r="J6461">
        <v>0.16772525099999999</v>
      </c>
      <c r="K6461"/>
      <c r="L6461" s="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K6462"/>
      <c r="L6462" s="1">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K6463"/>
      <c r="L6463" s="1">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K6464"/>
      <c r="L6464" s="1">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K6465"/>
      <c r="L6465" s="1">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K6466"/>
      <c r="L6466" s="1">
        <v>149.8734</v>
      </c>
      <c r="M6466">
        <v>4</v>
      </c>
    </row>
    <row r="6467" spans="1:13" x14ac:dyDescent="0.3">
      <c r="A6467" t="s">
        <v>17</v>
      </c>
      <c r="B6467">
        <v>6466</v>
      </c>
      <c r="C6467" t="s">
        <v>1576</v>
      </c>
      <c r="D6467" t="s">
        <v>12</v>
      </c>
      <c r="E6467">
        <v>2018</v>
      </c>
      <c r="F6467" t="s">
        <v>138</v>
      </c>
      <c r="G6467" t="s">
        <v>14</v>
      </c>
      <c r="H6467" t="s">
        <v>26</v>
      </c>
      <c r="I6467" t="s">
        <v>40</v>
      </c>
      <c r="J6467">
        <v>0.178923163</v>
      </c>
      <c r="K6467"/>
      <c r="L6467" s="1">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K6468"/>
      <c r="L6468" s="1">
        <v>100.77</v>
      </c>
      <c r="M6468">
        <v>4</v>
      </c>
    </row>
    <row r="6469" spans="1:13" x14ac:dyDescent="0.3">
      <c r="A6469" t="s">
        <v>17</v>
      </c>
      <c r="B6469">
        <v>6468</v>
      </c>
      <c r="C6469" t="s">
        <v>1214</v>
      </c>
      <c r="D6469" t="s">
        <v>12</v>
      </c>
      <c r="E6469">
        <v>2018</v>
      </c>
      <c r="F6469" t="s">
        <v>138</v>
      </c>
      <c r="G6469" t="s">
        <v>14</v>
      </c>
      <c r="H6469" t="s">
        <v>26</v>
      </c>
      <c r="I6469" t="s">
        <v>40</v>
      </c>
      <c r="J6469">
        <v>3.9576776000000001E-2</v>
      </c>
      <c r="K6469"/>
      <c r="L6469" s="1">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K6470"/>
      <c r="L6470" s="1">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K6471"/>
      <c r="L6471" s="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K6472"/>
      <c r="L6472" s="1">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K6473"/>
      <c r="L6473" s="1">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K6474"/>
      <c r="L6474" s="1">
        <v>151.07079999999999</v>
      </c>
      <c r="M6474">
        <v>4</v>
      </c>
    </row>
    <row r="6475" spans="1:13" x14ac:dyDescent="0.3">
      <c r="A6475" t="s">
        <v>17</v>
      </c>
      <c r="B6475">
        <v>6474</v>
      </c>
      <c r="C6475" t="s">
        <v>1516</v>
      </c>
      <c r="D6475" t="s">
        <v>19</v>
      </c>
      <c r="E6475">
        <v>2018</v>
      </c>
      <c r="F6475" t="s">
        <v>138</v>
      </c>
      <c r="G6475" t="s">
        <v>14</v>
      </c>
      <c r="H6475" t="s">
        <v>26</v>
      </c>
      <c r="I6475" t="s">
        <v>40</v>
      </c>
      <c r="J6475">
        <v>0.112249603</v>
      </c>
      <c r="K6475"/>
      <c r="L6475" s="1">
        <v>123.34139999999999</v>
      </c>
      <c r="M6475">
        <v>4</v>
      </c>
    </row>
    <row r="6476" spans="1:13" x14ac:dyDescent="0.3">
      <c r="A6476" t="s">
        <v>17</v>
      </c>
      <c r="B6476">
        <v>6475</v>
      </c>
      <c r="C6476" t="s">
        <v>1316</v>
      </c>
      <c r="D6476" t="s">
        <v>19</v>
      </c>
      <c r="E6476">
        <v>2018</v>
      </c>
      <c r="F6476" t="s">
        <v>138</v>
      </c>
      <c r="G6476" t="s">
        <v>14</v>
      </c>
      <c r="H6476" t="s">
        <v>26</v>
      </c>
      <c r="I6476" t="s">
        <v>40</v>
      </c>
      <c r="J6476">
        <v>3.9996021E-2</v>
      </c>
      <c r="K6476"/>
      <c r="L6476" s="1">
        <v>176.76859999999999</v>
      </c>
      <c r="M6476">
        <v>4</v>
      </c>
    </row>
    <row r="6477" spans="1:13" x14ac:dyDescent="0.3">
      <c r="A6477" t="s">
        <v>17</v>
      </c>
      <c r="B6477">
        <v>6476</v>
      </c>
      <c r="C6477" t="s">
        <v>849</v>
      </c>
      <c r="D6477" t="s">
        <v>42</v>
      </c>
      <c r="E6477">
        <v>2018</v>
      </c>
      <c r="F6477" t="s">
        <v>138</v>
      </c>
      <c r="G6477" t="s">
        <v>14</v>
      </c>
      <c r="H6477" t="s">
        <v>26</v>
      </c>
      <c r="I6477" t="s">
        <v>40</v>
      </c>
      <c r="J6477">
        <v>2.8048877E-2</v>
      </c>
      <c r="K6477"/>
      <c r="L6477" s="1">
        <v>106.1964</v>
      </c>
      <c r="M6477">
        <v>4</v>
      </c>
    </row>
    <row r="6478" spans="1:13" x14ac:dyDescent="0.3">
      <c r="A6478" t="s">
        <v>17</v>
      </c>
      <c r="B6478">
        <v>6477</v>
      </c>
      <c r="C6478" t="s">
        <v>576</v>
      </c>
      <c r="D6478" t="s">
        <v>42</v>
      </c>
      <c r="E6478">
        <v>2018</v>
      </c>
      <c r="F6478" t="s">
        <v>138</v>
      </c>
      <c r="G6478" t="s">
        <v>14</v>
      </c>
      <c r="H6478" t="s">
        <v>26</v>
      </c>
      <c r="I6478" t="s">
        <v>40</v>
      </c>
      <c r="J6478">
        <v>0.17357440199999999</v>
      </c>
      <c r="K6478"/>
      <c r="L6478" s="1">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K6479"/>
      <c r="L6479" s="1">
        <v>177.0712</v>
      </c>
      <c r="M6479">
        <v>4</v>
      </c>
    </row>
    <row r="6480" spans="1:13" x14ac:dyDescent="0.3">
      <c r="A6480" t="s">
        <v>17</v>
      </c>
      <c r="B6480">
        <v>6479</v>
      </c>
      <c r="C6480" t="s">
        <v>215</v>
      </c>
      <c r="D6480" t="s">
        <v>42</v>
      </c>
      <c r="E6480">
        <v>2018</v>
      </c>
      <c r="F6480" t="s">
        <v>138</v>
      </c>
      <c r="G6480" t="s">
        <v>14</v>
      </c>
      <c r="H6480" t="s">
        <v>26</v>
      </c>
      <c r="I6480" t="s">
        <v>40</v>
      </c>
      <c r="J6480">
        <v>0.123557061</v>
      </c>
      <c r="K6480"/>
      <c r="L6480" s="1">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K6481"/>
      <c r="L6481" s="1">
        <v>158.392</v>
      </c>
      <c r="M6481">
        <v>4</v>
      </c>
    </row>
    <row r="6482" spans="1:13" x14ac:dyDescent="0.3">
      <c r="A6482" t="s">
        <v>17</v>
      </c>
      <c r="B6482">
        <v>6481</v>
      </c>
      <c r="C6482" t="s">
        <v>381</v>
      </c>
      <c r="D6482" t="s">
        <v>42</v>
      </c>
      <c r="E6482">
        <v>2018</v>
      </c>
      <c r="F6482" t="s">
        <v>138</v>
      </c>
      <c r="G6482" t="s">
        <v>14</v>
      </c>
      <c r="H6482" t="s">
        <v>26</v>
      </c>
      <c r="I6482" t="s">
        <v>40</v>
      </c>
      <c r="J6482">
        <v>6.0706748999999997E-2</v>
      </c>
      <c r="K6482"/>
      <c r="L6482" s="1">
        <v>127.502</v>
      </c>
      <c r="M6482">
        <v>4</v>
      </c>
    </row>
    <row r="6483" spans="1:13" x14ac:dyDescent="0.3">
      <c r="A6483" t="s">
        <v>17</v>
      </c>
      <c r="B6483">
        <v>6482</v>
      </c>
      <c r="C6483" t="s">
        <v>1152</v>
      </c>
      <c r="D6483" t="s">
        <v>42</v>
      </c>
      <c r="E6483">
        <v>2018</v>
      </c>
      <c r="F6483" t="s">
        <v>138</v>
      </c>
      <c r="G6483" t="s">
        <v>14</v>
      </c>
      <c r="H6483" t="s">
        <v>26</v>
      </c>
      <c r="I6483" t="s">
        <v>40</v>
      </c>
      <c r="J6483">
        <v>6.0672262999999997E-2</v>
      </c>
      <c r="K6483"/>
      <c r="L6483" s="1">
        <v>119.87820000000001</v>
      </c>
      <c r="M6483">
        <v>4</v>
      </c>
    </row>
    <row r="6484" spans="1:13" x14ac:dyDescent="0.3">
      <c r="A6484" t="s">
        <v>17</v>
      </c>
      <c r="B6484">
        <v>6483</v>
      </c>
      <c r="C6484" t="s">
        <v>218</v>
      </c>
      <c r="D6484" t="s">
        <v>42</v>
      </c>
      <c r="E6484">
        <v>2018</v>
      </c>
      <c r="F6484" t="s">
        <v>138</v>
      </c>
      <c r="G6484" t="s">
        <v>14</v>
      </c>
      <c r="H6484" t="s">
        <v>26</v>
      </c>
      <c r="I6484" t="s">
        <v>40</v>
      </c>
      <c r="J6484">
        <v>2.5039776E-2</v>
      </c>
      <c r="K6484"/>
      <c r="L6484" s="1">
        <v>102.7332</v>
      </c>
      <c r="M6484">
        <v>4</v>
      </c>
    </row>
    <row r="6485" spans="1:13" x14ac:dyDescent="0.3">
      <c r="A6485" t="s">
        <v>17</v>
      </c>
      <c r="B6485">
        <v>6484</v>
      </c>
      <c r="C6485" t="s">
        <v>115</v>
      </c>
      <c r="D6485" t="s">
        <v>42</v>
      </c>
      <c r="E6485">
        <v>2018</v>
      </c>
      <c r="F6485" t="s">
        <v>138</v>
      </c>
      <c r="G6485" t="s">
        <v>14</v>
      </c>
      <c r="H6485" t="s">
        <v>26</v>
      </c>
      <c r="I6485" t="s">
        <v>40</v>
      </c>
      <c r="J6485">
        <v>0.117825569</v>
      </c>
      <c r="K6485"/>
      <c r="L6485" s="1">
        <v>43.279600000000002</v>
      </c>
      <c r="M6485">
        <v>4</v>
      </c>
    </row>
    <row r="6486" spans="1:13" x14ac:dyDescent="0.3">
      <c r="A6486" t="s">
        <v>17</v>
      </c>
      <c r="B6486">
        <v>6485</v>
      </c>
      <c r="C6486" t="s">
        <v>1227</v>
      </c>
      <c r="D6486" t="s">
        <v>42</v>
      </c>
      <c r="E6486">
        <v>2018</v>
      </c>
      <c r="F6486" t="s">
        <v>138</v>
      </c>
      <c r="G6486" t="s">
        <v>14</v>
      </c>
      <c r="H6486" t="s">
        <v>26</v>
      </c>
      <c r="I6486" t="s">
        <v>40</v>
      </c>
      <c r="J6486">
        <v>0.124299531</v>
      </c>
      <c r="K6486"/>
      <c r="L6486" s="1">
        <v>73.4696</v>
      </c>
      <c r="M6486">
        <v>4</v>
      </c>
    </row>
    <row r="6487" spans="1:13" x14ac:dyDescent="0.3">
      <c r="A6487" t="s">
        <v>17</v>
      </c>
      <c r="B6487">
        <v>6486</v>
      </c>
      <c r="C6487" t="s">
        <v>1114</v>
      </c>
      <c r="D6487" t="s">
        <v>42</v>
      </c>
      <c r="E6487">
        <v>2018</v>
      </c>
      <c r="F6487" t="s">
        <v>138</v>
      </c>
      <c r="G6487" t="s">
        <v>14</v>
      </c>
      <c r="H6487" t="s">
        <v>26</v>
      </c>
      <c r="I6487" t="s">
        <v>40</v>
      </c>
      <c r="J6487">
        <v>5.5566934999999998E-2</v>
      </c>
      <c r="K6487"/>
      <c r="L6487" s="1">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K6488"/>
      <c r="L6488" s="1">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K6489"/>
      <c r="L6489" s="1">
        <v>142.4496</v>
      </c>
      <c r="M6489">
        <v>4</v>
      </c>
    </row>
    <row r="6490" spans="1:13" x14ac:dyDescent="0.3">
      <c r="A6490" t="s">
        <v>17</v>
      </c>
      <c r="B6490">
        <v>6489</v>
      </c>
      <c r="C6490" t="s">
        <v>1464</v>
      </c>
      <c r="D6490" t="s">
        <v>42</v>
      </c>
      <c r="E6490">
        <v>2018</v>
      </c>
      <c r="F6490" t="s">
        <v>138</v>
      </c>
      <c r="G6490" t="s">
        <v>14</v>
      </c>
      <c r="H6490" t="s">
        <v>26</v>
      </c>
      <c r="I6490" t="s">
        <v>40</v>
      </c>
      <c r="J6490">
        <v>1.5397129000000001E-2</v>
      </c>
      <c r="K6490"/>
      <c r="L6490" s="1">
        <v>194.911</v>
      </c>
      <c r="M6490">
        <v>4</v>
      </c>
    </row>
    <row r="6491" spans="1:13" x14ac:dyDescent="0.3">
      <c r="A6491" t="s">
        <v>17</v>
      </c>
      <c r="B6491">
        <v>6490</v>
      </c>
      <c r="C6491" t="s">
        <v>240</v>
      </c>
      <c r="D6491" t="s">
        <v>42</v>
      </c>
      <c r="E6491">
        <v>2018</v>
      </c>
      <c r="F6491" t="s">
        <v>138</v>
      </c>
      <c r="G6491" t="s">
        <v>14</v>
      </c>
      <c r="H6491" t="s">
        <v>26</v>
      </c>
      <c r="I6491" t="s">
        <v>40</v>
      </c>
      <c r="J6491">
        <v>1.0467749E-2</v>
      </c>
      <c r="K6491"/>
      <c r="L6491" s="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K6492"/>
      <c r="L6492" s="1">
        <v>252.7698</v>
      </c>
      <c r="M6492">
        <v>4</v>
      </c>
    </row>
    <row r="6493" spans="1:13" x14ac:dyDescent="0.3">
      <c r="A6493" t="s">
        <v>17</v>
      </c>
      <c r="B6493">
        <v>6492</v>
      </c>
      <c r="C6493" t="s">
        <v>53</v>
      </c>
      <c r="D6493" t="s">
        <v>54</v>
      </c>
      <c r="E6493">
        <v>2018</v>
      </c>
      <c r="F6493" t="s">
        <v>138</v>
      </c>
      <c r="G6493" t="s">
        <v>14</v>
      </c>
      <c r="H6493" t="s">
        <v>26</v>
      </c>
      <c r="I6493" t="s">
        <v>40</v>
      </c>
      <c r="J6493">
        <v>5.7933643E-2</v>
      </c>
      <c r="K6493"/>
      <c r="L6493" s="1">
        <v>175.1738</v>
      </c>
      <c r="M6493">
        <v>4</v>
      </c>
    </row>
    <row r="6494" spans="1:13" x14ac:dyDescent="0.3">
      <c r="A6494" t="s">
        <v>17</v>
      </c>
      <c r="B6494">
        <v>6493</v>
      </c>
      <c r="C6494" t="s">
        <v>1071</v>
      </c>
      <c r="D6494" t="s">
        <v>54</v>
      </c>
      <c r="E6494">
        <v>2018</v>
      </c>
      <c r="F6494" t="s">
        <v>138</v>
      </c>
      <c r="G6494" t="s">
        <v>14</v>
      </c>
      <c r="H6494" t="s">
        <v>26</v>
      </c>
      <c r="I6494" t="s">
        <v>40</v>
      </c>
      <c r="J6494">
        <v>0.20914265000000001</v>
      </c>
      <c r="K6494"/>
      <c r="L6494" s="1">
        <v>190.953</v>
      </c>
      <c r="M6494">
        <v>4</v>
      </c>
    </row>
    <row r="6495" spans="1:13" x14ac:dyDescent="0.3">
      <c r="A6495" t="s">
        <v>17</v>
      </c>
      <c r="B6495">
        <v>6494</v>
      </c>
      <c r="C6495" t="s">
        <v>1369</v>
      </c>
      <c r="D6495" t="s">
        <v>54</v>
      </c>
      <c r="E6495">
        <v>2018</v>
      </c>
      <c r="F6495" t="s">
        <v>138</v>
      </c>
      <c r="G6495" t="s">
        <v>14</v>
      </c>
      <c r="H6495" t="s">
        <v>26</v>
      </c>
      <c r="I6495" t="s">
        <v>40</v>
      </c>
      <c r="J6495">
        <v>0</v>
      </c>
      <c r="K6495"/>
      <c r="L6495" s="1">
        <v>196.8426</v>
      </c>
      <c r="M6495">
        <v>4</v>
      </c>
    </row>
    <row r="6496" spans="1:13" x14ac:dyDescent="0.3">
      <c r="A6496" t="s">
        <v>17</v>
      </c>
      <c r="B6496">
        <v>6495</v>
      </c>
      <c r="C6496" t="s">
        <v>788</v>
      </c>
      <c r="D6496" t="s">
        <v>64</v>
      </c>
      <c r="E6496">
        <v>2018</v>
      </c>
      <c r="F6496" t="s">
        <v>138</v>
      </c>
      <c r="G6496" t="s">
        <v>14</v>
      </c>
      <c r="H6496" t="s">
        <v>26</v>
      </c>
      <c r="I6496" t="s">
        <v>40</v>
      </c>
      <c r="J6496">
        <v>0.210596485</v>
      </c>
      <c r="K6496"/>
      <c r="L6496" s="1">
        <v>144.74700000000001</v>
      </c>
      <c r="M6496">
        <v>4</v>
      </c>
    </row>
    <row r="6497" spans="1:13" x14ac:dyDescent="0.3">
      <c r="A6497" t="s">
        <v>17</v>
      </c>
      <c r="B6497">
        <v>6496</v>
      </c>
      <c r="C6497" t="s">
        <v>245</v>
      </c>
      <c r="D6497" t="s">
        <v>64</v>
      </c>
      <c r="E6497">
        <v>2018</v>
      </c>
      <c r="F6497" t="s">
        <v>138</v>
      </c>
      <c r="G6497" t="s">
        <v>14</v>
      </c>
      <c r="H6497" t="s">
        <v>26</v>
      </c>
      <c r="I6497" t="s">
        <v>40</v>
      </c>
      <c r="J6497">
        <v>0.194874778</v>
      </c>
      <c r="K6497"/>
      <c r="L6497" s="1">
        <v>110.2912</v>
      </c>
      <c r="M6497">
        <v>4</v>
      </c>
    </row>
    <row r="6498" spans="1:13" x14ac:dyDescent="0.3">
      <c r="A6498" t="s">
        <v>17</v>
      </c>
      <c r="B6498">
        <v>6497</v>
      </c>
      <c r="C6498" t="s">
        <v>1497</v>
      </c>
      <c r="D6498" t="s">
        <v>153</v>
      </c>
      <c r="E6498">
        <v>2018</v>
      </c>
      <c r="F6498" t="s">
        <v>138</v>
      </c>
      <c r="G6498" t="s">
        <v>14</v>
      </c>
      <c r="H6498" t="s">
        <v>26</v>
      </c>
      <c r="I6498" t="s">
        <v>40</v>
      </c>
      <c r="J6498">
        <v>5.4670967000000001E-2</v>
      </c>
      <c r="K6498"/>
      <c r="L6498" s="1">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K6499"/>
      <c r="L6499" s="1">
        <v>100.67</v>
      </c>
      <c r="M6499">
        <v>4</v>
      </c>
    </row>
    <row r="6500" spans="1:13" x14ac:dyDescent="0.3">
      <c r="A6500" t="s">
        <v>17</v>
      </c>
      <c r="B6500">
        <v>6499</v>
      </c>
      <c r="C6500" t="s">
        <v>306</v>
      </c>
      <c r="D6500" t="s">
        <v>48</v>
      </c>
      <c r="E6500">
        <v>2018</v>
      </c>
      <c r="F6500" t="s">
        <v>138</v>
      </c>
      <c r="G6500" t="s">
        <v>14</v>
      </c>
      <c r="H6500" t="s">
        <v>26</v>
      </c>
      <c r="I6500" t="s">
        <v>40</v>
      </c>
      <c r="J6500">
        <v>8.6326707000000003E-2</v>
      </c>
      <c r="K6500"/>
      <c r="L6500" s="1">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K6501"/>
      <c r="L6501" s="1">
        <v>159.8236</v>
      </c>
      <c r="M6501">
        <v>4</v>
      </c>
    </row>
    <row r="6502" spans="1:13" x14ac:dyDescent="0.3">
      <c r="A6502" t="s">
        <v>17</v>
      </c>
      <c r="B6502">
        <v>6501</v>
      </c>
      <c r="C6502" t="s">
        <v>1354</v>
      </c>
      <c r="D6502" t="s">
        <v>48</v>
      </c>
      <c r="E6502">
        <v>2018</v>
      </c>
      <c r="F6502" t="s">
        <v>138</v>
      </c>
      <c r="G6502" t="s">
        <v>14</v>
      </c>
      <c r="H6502" t="s">
        <v>26</v>
      </c>
      <c r="I6502" t="s">
        <v>40</v>
      </c>
      <c r="J6502">
        <v>9.4957079E-2</v>
      </c>
      <c r="K6502"/>
      <c r="L6502" s="1">
        <v>143.5154</v>
      </c>
      <c r="M6502">
        <v>4</v>
      </c>
    </row>
    <row r="6503" spans="1:13" x14ac:dyDescent="0.3">
      <c r="A6503" t="s">
        <v>17</v>
      </c>
      <c r="B6503">
        <v>6502</v>
      </c>
      <c r="C6503" t="s">
        <v>1195</v>
      </c>
      <c r="D6503" t="s">
        <v>48</v>
      </c>
      <c r="E6503">
        <v>2018</v>
      </c>
      <c r="F6503" t="s">
        <v>138</v>
      </c>
      <c r="G6503" t="s">
        <v>14</v>
      </c>
      <c r="H6503" t="s">
        <v>26</v>
      </c>
      <c r="I6503" t="s">
        <v>40</v>
      </c>
      <c r="J6503">
        <v>0.15630419200000001</v>
      </c>
      <c r="K6503"/>
      <c r="L6503" s="1">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K6504"/>
      <c r="L6504" s="1">
        <v>217.6482</v>
      </c>
      <c r="M6504">
        <v>4</v>
      </c>
    </row>
    <row r="6505" spans="1:13" x14ac:dyDescent="0.3">
      <c r="A6505" t="s">
        <v>17</v>
      </c>
      <c r="B6505">
        <v>6504</v>
      </c>
      <c r="C6505" t="s">
        <v>1086</v>
      </c>
      <c r="D6505" t="s">
        <v>48</v>
      </c>
      <c r="E6505">
        <v>2018</v>
      </c>
      <c r="F6505" t="s">
        <v>138</v>
      </c>
      <c r="G6505" t="s">
        <v>14</v>
      </c>
      <c r="H6505" t="s">
        <v>26</v>
      </c>
      <c r="I6505" t="s">
        <v>40</v>
      </c>
      <c r="J6505">
        <v>6.2294473000000003E-2</v>
      </c>
      <c r="K6505"/>
      <c r="L6505" s="1">
        <v>242.417</v>
      </c>
      <c r="M6505">
        <v>4</v>
      </c>
    </row>
    <row r="6506" spans="1:13" x14ac:dyDescent="0.3">
      <c r="A6506" t="s">
        <v>17</v>
      </c>
      <c r="B6506">
        <v>6505</v>
      </c>
      <c r="C6506" t="s">
        <v>1566</v>
      </c>
      <c r="D6506" t="s">
        <v>48</v>
      </c>
      <c r="E6506">
        <v>2018</v>
      </c>
      <c r="F6506" t="s">
        <v>138</v>
      </c>
      <c r="G6506" t="s">
        <v>14</v>
      </c>
      <c r="H6506" t="s">
        <v>26</v>
      </c>
      <c r="I6506" t="s">
        <v>40</v>
      </c>
      <c r="J6506">
        <v>0.18358896</v>
      </c>
      <c r="K6506"/>
      <c r="L6506" s="1">
        <v>154.66300000000001</v>
      </c>
      <c r="M6506">
        <v>4</v>
      </c>
    </row>
    <row r="6507" spans="1:13" x14ac:dyDescent="0.3">
      <c r="A6507" t="s">
        <v>17</v>
      </c>
      <c r="B6507">
        <v>6506</v>
      </c>
      <c r="C6507" t="s">
        <v>389</v>
      </c>
      <c r="D6507" t="s">
        <v>48</v>
      </c>
      <c r="E6507">
        <v>2018</v>
      </c>
      <c r="F6507" t="s">
        <v>138</v>
      </c>
      <c r="G6507" t="s">
        <v>14</v>
      </c>
      <c r="H6507" t="s">
        <v>26</v>
      </c>
      <c r="I6507" t="s">
        <v>40</v>
      </c>
      <c r="J6507">
        <v>0.117091213</v>
      </c>
      <c r="K6507"/>
      <c r="L6507" s="1">
        <v>197.9084</v>
      </c>
      <c r="M6507">
        <v>4</v>
      </c>
    </row>
    <row r="6508" spans="1:13" x14ac:dyDescent="0.3">
      <c r="A6508" t="s">
        <v>17</v>
      </c>
      <c r="B6508">
        <v>6507</v>
      </c>
      <c r="C6508" t="s">
        <v>1408</v>
      </c>
      <c r="D6508" t="s">
        <v>32</v>
      </c>
      <c r="E6508">
        <v>2018</v>
      </c>
      <c r="F6508" t="s">
        <v>138</v>
      </c>
      <c r="G6508" t="s">
        <v>14</v>
      </c>
      <c r="H6508" t="s">
        <v>26</v>
      </c>
      <c r="I6508" t="s">
        <v>40</v>
      </c>
      <c r="J6508">
        <v>7.9440261999999998E-2</v>
      </c>
      <c r="K6508"/>
      <c r="L6508" s="1">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K6509"/>
      <c r="L6509" s="1">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K6510"/>
      <c r="L6510" s="1">
        <v>189.4872</v>
      </c>
      <c r="M6510">
        <v>4</v>
      </c>
    </row>
    <row r="6511" spans="1:13" x14ac:dyDescent="0.3">
      <c r="A6511" t="s">
        <v>17</v>
      </c>
      <c r="B6511">
        <v>6510</v>
      </c>
      <c r="C6511" t="s">
        <v>971</v>
      </c>
      <c r="D6511" t="s">
        <v>32</v>
      </c>
      <c r="E6511">
        <v>2018</v>
      </c>
      <c r="F6511" t="s">
        <v>138</v>
      </c>
      <c r="G6511" t="s">
        <v>14</v>
      </c>
      <c r="H6511" t="s">
        <v>26</v>
      </c>
      <c r="I6511" t="s">
        <v>40</v>
      </c>
      <c r="J6511">
        <v>7.8576074999999995E-2</v>
      </c>
      <c r="K6511"/>
      <c r="L6511" s="1">
        <v>78.466999999999999</v>
      </c>
      <c r="M6511">
        <v>4</v>
      </c>
    </row>
    <row r="6512" spans="1:13" x14ac:dyDescent="0.3">
      <c r="A6512" t="s">
        <v>17</v>
      </c>
      <c r="B6512">
        <v>6511</v>
      </c>
      <c r="C6512" t="s">
        <v>1397</v>
      </c>
      <c r="D6512" t="s">
        <v>32</v>
      </c>
      <c r="E6512">
        <v>2018</v>
      </c>
      <c r="F6512" t="s">
        <v>138</v>
      </c>
      <c r="G6512" t="s">
        <v>14</v>
      </c>
      <c r="H6512" t="s">
        <v>26</v>
      </c>
      <c r="I6512" t="s">
        <v>40</v>
      </c>
      <c r="J6512">
        <v>5.8444176E-2</v>
      </c>
      <c r="K6512"/>
      <c r="L6512" s="1">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K6513"/>
      <c r="L6513" s="1">
        <v>189.453</v>
      </c>
      <c r="M6513">
        <v>4</v>
      </c>
    </row>
    <row r="6514" spans="1:13" x14ac:dyDescent="0.3">
      <c r="A6514" t="s">
        <v>10</v>
      </c>
      <c r="B6514">
        <v>6513</v>
      </c>
      <c r="C6514" t="s">
        <v>335</v>
      </c>
      <c r="D6514" t="s">
        <v>95</v>
      </c>
      <c r="E6514">
        <v>2018</v>
      </c>
      <c r="F6514" t="s">
        <v>138</v>
      </c>
      <c r="G6514" t="s">
        <v>14</v>
      </c>
      <c r="H6514" t="s">
        <v>26</v>
      </c>
      <c r="I6514" t="s">
        <v>40</v>
      </c>
      <c r="J6514">
        <v>0.2004264</v>
      </c>
      <c r="K6514"/>
      <c r="L6514" s="1">
        <v>88.851399999999998</v>
      </c>
      <c r="M6514">
        <v>4</v>
      </c>
    </row>
    <row r="6515" spans="1:13" x14ac:dyDescent="0.3">
      <c r="A6515" t="s">
        <v>10</v>
      </c>
      <c r="B6515">
        <v>6514</v>
      </c>
      <c r="C6515" t="s">
        <v>431</v>
      </c>
      <c r="D6515" t="s">
        <v>95</v>
      </c>
      <c r="E6515">
        <v>2018</v>
      </c>
      <c r="F6515" t="s">
        <v>138</v>
      </c>
      <c r="G6515" t="s">
        <v>14</v>
      </c>
      <c r="H6515" t="s">
        <v>26</v>
      </c>
      <c r="I6515" t="s">
        <v>40</v>
      </c>
      <c r="J6515">
        <v>0</v>
      </c>
      <c r="K6515"/>
      <c r="L6515" s="1">
        <v>38.184800000000003</v>
      </c>
      <c r="M6515">
        <v>4</v>
      </c>
    </row>
    <row r="6516" spans="1:13" x14ac:dyDescent="0.3">
      <c r="A6516" t="s">
        <v>10</v>
      </c>
      <c r="B6516">
        <v>6515</v>
      </c>
      <c r="C6516" t="s">
        <v>1603</v>
      </c>
      <c r="D6516" t="s">
        <v>95</v>
      </c>
      <c r="E6516">
        <v>2018</v>
      </c>
      <c r="F6516" t="s">
        <v>138</v>
      </c>
      <c r="G6516" t="s">
        <v>14</v>
      </c>
      <c r="H6516" t="s">
        <v>26</v>
      </c>
      <c r="I6516" t="s">
        <v>40</v>
      </c>
      <c r="J6516">
        <v>0.191500528</v>
      </c>
      <c r="K6516"/>
      <c r="L6516" s="1">
        <v>121.2098</v>
      </c>
      <c r="M6516">
        <v>4</v>
      </c>
    </row>
    <row r="6517" spans="1:13" x14ac:dyDescent="0.3">
      <c r="A6517" t="s">
        <v>10</v>
      </c>
      <c r="B6517">
        <v>6516</v>
      </c>
      <c r="C6517" t="s">
        <v>120</v>
      </c>
      <c r="D6517" t="s">
        <v>95</v>
      </c>
      <c r="E6517">
        <v>2018</v>
      </c>
      <c r="F6517" t="s">
        <v>138</v>
      </c>
      <c r="G6517" t="s">
        <v>14</v>
      </c>
      <c r="H6517" t="s">
        <v>26</v>
      </c>
      <c r="I6517" t="s">
        <v>40</v>
      </c>
      <c r="J6517">
        <v>0.13263034500000001</v>
      </c>
      <c r="K6517"/>
      <c r="L6517" s="1">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K6518"/>
      <c r="L6518" s="1">
        <v>165.65</v>
      </c>
      <c r="M6518">
        <v>4</v>
      </c>
    </row>
    <row r="6519" spans="1:13" x14ac:dyDescent="0.3">
      <c r="A6519" t="s">
        <v>10</v>
      </c>
      <c r="B6519">
        <v>6518</v>
      </c>
      <c r="C6519" t="s">
        <v>867</v>
      </c>
      <c r="D6519" t="s">
        <v>57</v>
      </c>
      <c r="E6519">
        <v>2018</v>
      </c>
      <c r="F6519" t="s">
        <v>138</v>
      </c>
      <c r="G6519" t="s">
        <v>14</v>
      </c>
      <c r="H6519" t="s">
        <v>26</v>
      </c>
      <c r="I6519" t="s">
        <v>40</v>
      </c>
      <c r="J6519">
        <v>9.7275776999999994E-2</v>
      </c>
      <c r="K6519"/>
      <c r="L6519" s="1">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K6520"/>
      <c r="L6520" s="1">
        <v>111.857</v>
      </c>
      <c r="M6520">
        <v>4</v>
      </c>
    </row>
    <row r="6521" spans="1:13" x14ac:dyDescent="0.3">
      <c r="A6521" t="s">
        <v>10</v>
      </c>
      <c r="B6521">
        <v>6520</v>
      </c>
      <c r="C6521" t="s">
        <v>569</v>
      </c>
      <c r="D6521" t="s">
        <v>57</v>
      </c>
      <c r="E6521">
        <v>2018</v>
      </c>
      <c r="F6521" t="s">
        <v>138</v>
      </c>
      <c r="G6521" t="s">
        <v>14</v>
      </c>
      <c r="H6521" t="s">
        <v>26</v>
      </c>
      <c r="I6521" t="s">
        <v>40</v>
      </c>
      <c r="J6521">
        <v>0.13991304500000001</v>
      </c>
      <c r="K6521"/>
      <c r="L6521" s="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K6522"/>
      <c r="L6522" s="1">
        <v>167.84739999999999</v>
      </c>
      <c r="M6522">
        <v>4</v>
      </c>
    </row>
    <row r="6523" spans="1:13" x14ac:dyDescent="0.3">
      <c r="A6523" t="s">
        <v>10</v>
      </c>
      <c r="B6523">
        <v>6522</v>
      </c>
      <c r="C6523" t="s">
        <v>429</v>
      </c>
      <c r="D6523" t="s">
        <v>74</v>
      </c>
      <c r="E6523">
        <v>2018</v>
      </c>
      <c r="F6523" t="s">
        <v>138</v>
      </c>
      <c r="G6523" t="s">
        <v>14</v>
      </c>
      <c r="H6523" t="s">
        <v>26</v>
      </c>
      <c r="I6523" t="s">
        <v>40</v>
      </c>
      <c r="J6523">
        <v>0.120965853</v>
      </c>
      <c r="K6523"/>
      <c r="L6523" s="1">
        <v>55.861400000000003</v>
      </c>
      <c r="M6523">
        <v>4</v>
      </c>
    </row>
    <row r="6524" spans="1:13" x14ac:dyDescent="0.3">
      <c r="A6524" t="s">
        <v>10</v>
      </c>
      <c r="B6524">
        <v>6523</v>
      </c>
      <c r="C6524" t="s">
        <v>423</v>
      </c>
      <c r="D6524" t="s">
        <v>28</v>
      </c>
      <c r="E6524">
        <v>2018</v>
      </c>
      <c r="F6524" t="s">
        <v>138</v>
      </c>
      <c r="G6524" t="s">
        <v>14</v>
      </c>
      <c r="H6524" t="s">
        <v>26</v>
      </c>
      <c r="I6524" t="s">
        <v>40</v>
      </c>
      <c r="J6524">
        <v>0</v>
      </c>
      <c r="K6524"/>
      <c r="L6524" s="1">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K6525"/>
      <c r="L6525" s="1">
        <v>147.24180000000001</v>
      </c>
      <c r="M6525">
        <v>4</v>
      </c>
    </row>
    <row r="6526" spans="1:13" x14ac:dyDescent="0.3">
      <c r="A6526" t="s">
        <v>10</v>
      </c>
      <c r="B6526">
        <v>6525</v>
      </c>
      <c r="C6526" t="s">
        <v>677</v>
      </c>
      <c r="D6526" t="s">
        <v>28</v>
      </c>
      <c r="E6526">
        <v>2018</v>
      </c>
      <c r="F6526" t="s">
        <v>138</v>
      </c>
      <c r="G6526" t="s">
        <v>14</v>
      </c>
      <c r="H6526" t="s">
        <v>26</v>
      </c>
      <c r="I6526" t="s">
        <v>40</v>
      </c>
      <c r="J6526">
        <v>0</v>
      </c>
      <c r="K6526"/>
      <c r="L6526" s="1">
        <v>78.896000000000001</v>
      </c>
      <c r="M6526">
        <v>4</v>
      </c>
    </row>
    <row r="6527" spans="1:13" x14ac:dyDescent="0.3">
      <c r="A6527" t="s">
        <v>10</v>
      </c>
      <c r="B6527">
        <v>6526</v>
      </c>
      <c r="C6527" t="s">
        <v>1048</v>
      </c>
      <c r="D6527" t="s">
        <v>28</v>
      </c>
      <c r="E6527">
        <v>2018</v>
      </c>
      <c r="F6527" t="s">
        <v>138</v>
      </c>
      <c r="G6527" t="s">
        <v>14</v>
      </c>
      <c r="H6527" t="s">
        <v>26</v>
      </c>
      <c r="I6527" t="s">
        <v>40</v>
      </c>
      <c r="J6527">
        <v>0.161030847</v>
      </c>
      <c r="K6527"/>
      <c r="L6527" s="1">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K6528"/>
      <c r="L6528" s="1">
        <v>164.7184</v>
      </c>
      <c r="M6528">
        <v>4</v>
      </c>
    </row>
    <row r="6529" spans="1:13" x14ac:dyDescent="0.3">
      <c r="A6529" t="s">
        <v>10</v>
      </c>
      <c r="B6529">
        <v>6528</v>
      </c>
      <c r="C6529" t="s">
        <v>1587</v>
      </c>
      <c r="D6529" t="s">
        <v>67</v>
      </c>
      <c r="E6529">
        <v>2018</v>
      </c>
      <c r="F6529" t="s">
        <v>138</v>
      </c>
      <c r="G6529" t="s">
        <v>14</v>
      </c>
      <c r="H6529" t="s">
        <v>26</v>
      </c>
      <c r="I6529" t="s">
        <v>40</v>
      </c>
      <c r="J6529">
        <v>0.12942514499999999</v>
      </c>
      <c r="K6529"/>
      <c r="L6529" s="1">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K6530"/>
      <c r="L6530" s="1">
        <v>120.1782</v>
      </c>
      <c r="M6530">
        <v>4</v>
      </c>
    </row>
    <row r="6531" spans="1:13" x14ac:dyDescent="0.3">
      <c r="A6531" t="s">
        <v>10</v>
      </c>
      <c r="B6531">
        <v>6530</v>
      </c>
      <c r="C6531" t="s">
        <v>125</v>
      </c>
      <c r="D6531" t="s">
        <v>67</v>
      </c>
      <c r="E6531">
        <v>2018</v>
      </c>
      <c r="F6531" t="s">
        <v>138</v>
      </c>
      <c r="G6531" t="s">
        <v>14</v>
      </c>
      <c r="H6531" t="s">
        <v>26</v>
      </c>
      <c r="I6531" t="s">
        <v>40</v>
      </c>
      <c r="J6531">
        <v>0.13334711899999999</v>
      </c>
      <c r="K6531"/>
      <c r="L6531" s="1">
        <v>193.07939999999999</v>
      </c>
      <c r="M6531">
        <v>4</v>
      </c>
    </row>
    <row r="6532" spans="1:13" x14ac:dyDescent="0.3">
      <c r="A6532" t="s">
        <v>10</v>
      </c>
      <c r="B6532">
        <v>6531</v>
      </c>
      <c r="C6532" t="s">
        <v>1500</v>
      </c>
      <c r="D6532" t="s">
        <v>67</v>
      </c>
      <c r="E6532">
        <v>2018</v>
      </c>
      <c r="F6532" t="s">
        <v>138</v>
      </c>
      <c r="G6532" t="s">
        <v>14</v>
      </c>
      <c r="H6532" t="s">
        <v>26</v>
      </c>
      <c r="I6532" t="s">
        <v>40</v>
      </c>
      <c r="J6532">
        <v>0.153456703</v>
      </c>
      <c r="K6532"/>
      <c r="L6532" s="1">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K6533"/>
      <c r="L6533" s="1">
        <v>91.0488</v>
      </c>
      <c r="M6533">
        <v>4</v>
      </c>
    </row>
    <row r="6534" spans="1:13" x14ac:dyDescent="0.3">
      <c r="A6534" t="s">
        <v>10</v>
      </c>
      <c r="B6534">
        <v>6533</v>
      </c>
      <c r="C6534" t="s">
        <v>1489</v>
      </c>
      <c r="D6534" t="s">
        <v>24</v>
      </c>
      <c r="E6534">
        <v>2018</v>
      </c>
      <c r="F6534" t="s">
        <v>138</v>
      </c>
      <c r="G6534" t="s">
        <v>14</v>
      </c>
      <c r="H6534" t="s">
        <v>26</v>
      </c>
      <c r="I6534" t="s">
        <v>40</v>
      </c>
      <c r="J6534">
        <v>0.127660257</v>
      </c>
      <c r="K6534"/>
      <c r="L6534" s="1">
        <v>198.54259999999999</v>
      </c>
      <c r="M6534">
        <v>4</v>
      </c>
    </row>
    <row r="6535" spans="1:13" x14ac:dyDescent="0.3">
      <c r="A6535" t="s">
        <v>10</v>
      </c>
      <c r="B6535">
        <v>6534</v>
      </c>
      <c r="C6535" t="s">
        <v>1493</v>
      </c>
      <c r="D6535" t="s">
        <v>24</v>
      </c>
      <c r="E6535">
        <v>2018</v>
      </c>
      <c r="F6535" t="s">
        <v>138</v>
      </c>
      <c r="G6535" t="s">
        <v>14</v>
      </c>
      <c r="H6535" t="s">
        <v>26</v>
      </c>
      <c r="I6535" t="s">
        <v>40</v>
      </c>
      <c r="J6535">
        <v>0</v>
      </c>
      <c r="K6535"/>
      <c r="L6535" s="1">
        <v>230.0668</v>
      </c>
      <c r="M6535">
        <v>4</v>
      </c>
    </row>
    <row r="6536" spans="1:13" x14ac:dyDescent="0.3">
      <c r="A6536" t="s">
        <v>10</v>
      </c>
      <c r="B6536">
        <v>6535</v>
      </c>
      <c r="C6536" t="s">
        <v>552</v>
      </c>
      <c r="D6536" t="s">
        <v>24</v>
      </c>
      <c r="E6536">
        <v>2018</v>
      </c>
      <c r="F6536" t="s">
        <v>138</v>
      </c>
      <c r="G6536" t="s">
        <v>14</v>
      </c>
      <c r="H6536" t="s">
        <v>26</v>
      </c>
      <c r="I6536" t="s">
        <v>40</v>
      </c>
      <c r="J6536">
        <v>6.3079544000000001E-2</v>
      </c>
      <c r="K6536"/>
      <c r="L6536" s="1">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K6537"/>
      <c r="L6537" s="1">
        <v>190.88460000000001</v>
      </c>
      <c r="M6537">
        <v>4</v>
      </c>
    </row>
    <row r="6538" spans="1:13" x14ac:dyDescent="0.3">
      <c r="A6538" t="s">
        <v>10</v>
      </c>
      <c r="B6538">
        <v>6537</v>
      </c>
      <c r="C6538" t="s">
        <v>1006</v>
      </c>
      <c r="D6538" t="s">
        <v>24</v>
      </c>
      <c r="E6538">
        <v>2018</v>
      </c>
      <c r="F6538" t="s">
        <v>138</v>
      </c>
      <c r="G6538" t="s">
        <v>14</v>
      </c>
      <c r="H6538" t="s">
        <v>26</v>
      </c>
      <c r="I6538" t="s">
        <v>40</v>
      </c>
      <c r="J6538">
        <v>0.145200948</v>
      </c>
      <c r="K6538"/>
      <c r="L6538" s="1">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K6539"/>
      <c r="L6539" s="1">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K6540"/>
      <c r="L6540" s="1">
        <v>225.2088</v>
      </c>
      <c r="M6540">
        <v>4</v>
      </c>
    </row>
    <row r="6541" spans="1:13" x14ac:dyDescent="0.3">
      <c r="A6541" t="s">
        <v>10</v>
      </c>
      <c r="B6541">
        <v>6540</v>
      </c>
      <c r="C6541" t="s">
        <v>362</v>
      </c>
      <c r="D6541" t="s">
        <v>12</v>
      </c>
      <c r="E6541">
        <v>2018</v>
      </c>
      <c r="F6541" t="s">
        <v>138</v>
      </c>
      <c r="G6541" t="s">
        <v>14</v>
      </c>
      <c r="H6541" t="s">
        <v>26</v>
      </c>
      <c r="I6541" t="s">
        <v>40</v>
      </c>
      <c r="J6541">
        <v>7.5215349000000001E-2</v>
      </c>
      <c r="K6541"/>
      <c r="L6541" s="1">
        <v>108.4254</v>
      </c>
      <c r="M6541">
        <v>4</v>
      </c>
    </row>
    <row r="6542" spans="1:13" x14ac:dyDescent="0.3">
      <c r="A6542" t="s">
        <v>10</v>
      </c>
      <c r="B6542">
        <v>6541</v>
      </c>
      <c r="C6542" t="s">
        <v>1520</v>
      </c>
      <c r="D6542" t="s">
        <v>12</v>
      </c>
      <c r="E6542">
        <v>2018</v>
      </c>
      <c r="F6542" t="s">
        <v>138</v>
      </c>
      <c r="G6542" t="s">
        <v>14</v>
      </c>
      <c r="H6542" t="s">
        <v>26</v>
      </c>
      <c r="I6542" t="s">
        <v>40</v>
      </c>
      <c r="J6542">
        <v>0.214423791</v>
      </c>
      <c r="K6542"/>
      <c r="L6542" s="1">
        <v>111.6544</v>
      </c>
      <c r="M6542">
        <v>4</v>
      </c>
    </row>
    <row r="6543" spans="1:13" x14ac:dyDescent="0.3">
      <c r="A6543" t="s">
        <v>10</v>
      </c>
      <c r="B6543">
        <v>6542</v>
      </c>
      <c r="C6543" t="s">
        <v>1536</v>
      </c>
      <c r="D6543" t="s">
        <v>12</v>
      </c>
      <c r="E6543">
        <v>2018</v>
      </c>
      <c r="F6543" t="s">
        <v>138</v>
      </c>
      <c r="G6543" t="s">
        <v>14</v>
      </c>
      <c r="H6543" t="s">
        <v>26</v>
      </c>
      <c r="I6543" t="s">
        <v>40</v>
      </c>
      <c r="J6543">
        <v>0.187443314</v>
      </c>
      <c r="K6543"/>
      <c r="L6543" s="1">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K6544"/>
      <c r="L6544" s="1">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K6545"/>
      <c r="L6545" s="1">
        <v>240.9538</v>
      </c>
      <c r="M6545">
        <v>4</v>
      </c>
    </row>
    <row r="6546" spans="1:13" x14ac:dyDescent="0.3">
      <c r="A6546" t="s">
        <v>10</v>
      </c>
      <c r="B6546">
        <v>6545</v>
      </c>
      <c r="C6546" t="s">
        <v>1246</v>
      </c>
      <c r="D6546" t="s">
        <v>12</v>
      </c>
      <c r="E6546">
        <v>2018</v>
      </c>
      <c r="F6546" t="s">
        <v>138</v>
      </c>
      <c r="G6546" t="s">
        <v>14</v>
      </c>
      <c r="H6546" t="s">
        <v>26</v>
      </c>
      <c r="I6546" t="s">
        <v>40</v>
      </c>
      <c r="J6546">
        <v>3.7569401000000002E-2</v>
      </c>
      <c r="K6546"/>
      <c r="L6546" s="1">
        <v>120.7098</v>
      </c>
      <c r="M6546">
        <v>4</v>
      </c>
    </row>
    <row r="6547" spans="1:13" x14ac:dyDescent="0.3">
      <c r="A6547" t="s">
        <v>10</v>
      </c>
      <c r="B6547">
        <v>6546</v>
      </c>
      <c r="C6547" t="s">
        <v>363</v>
      </c>
      <c r="D6547" t="s">
        <v>12</v>
      </c>
      <c r="E6547">
        <v>2018</v>
      </c>
      <c r="F6547" t="s">
        <v>138</v>
      </c>
      <c r="G6547" t="s">
        <v>14</v>
      </c>
      <c r="H6547" t="s">
        <v>26</v>
      </c>
      <c r="I6547" t="s">
        <v>40</v>
      </c>
      <c r="J6547">
        <v>6.1730519999999997E-2</v>
      </c>
      <c r="K6547"/>
      <c r="L6547" s="1">
        <v>159.15780000000001</v>
      </c>
      <c r="M6547">
        <v>4</v>
      </c>
    </row>
    <row r="6548" spans="1:13" x14ac:dyDescent="0.3">
      <c r="A6548" t="s">
        <v>10</v>
      </c>
      <c r="B6548">
        <v>6547</v>
      </c>
      <c r="C6548" t="s">
        <v>1160</v>
      </c>
      <c r="D6548" t="s">
        <v>12</v>
      </c>
      <c r="E6548">
        <v>2018</v>
      </c>
      <c r="F6548" t="s">
        <v>138</v>
      </c>
      <c r="G6548" t="s">
        <v>14</v>
      </c>
      <c r="H6548" t="s">
        <v>26</v>
      </c>
      <c r="I6548" t="s">
        <v>40</v>
      </c>
      <c r="J6548">
        <v>0.165101585</v>
      </c>
      <c r="K6548"/>
      <c r="L6548" s="1">
        <v>87.788200000000003</v>
      </c>
      <c r="M6548">
        <v>4</v>
      </c>
    </row>
    <row r="6549" spans="1:13" x14ac:dyDescent="0.3">
      <c r="A6549" t="s">
        <v>10</v>
      </c>
      <c r="B6549">
        <v>6548</v>
      </c>
      <c r="C6549" t="s">
        <v>400</v>
      </c>
      <c r="D6549" t="s">
        <v>12</v>
      </c>
      <c r="E6549">
        <v>2018</v>
      </c>
      <c r="F6549" t="s">
        <v>138</v>
      </c>
      <c r="G6549" t="s">
        <v>14</v>
      </c>
      <c r="H6549" t="s">
        <v>26</v>
      </c>
      <c r="I6549" t="s">
        <v>40</v>
      </c>
      <c r="J6549">
        <v>0</v>
      </c>
      <c r="K6549"/>
      <c r="L6549" s="1">
        <v>234.79580000000001</v>
      </c>
      <c r="M6549">
        <v>4</v>
      </c>
    </row>
    <row r="6550" spans="1:13" x14ac:dyDescent="0.3">
      <c r="A6550" t="s">
        <v>10</v>
      </c>
      <c r="B6550">
        <v>6549</v>
      </c>
      <c r="C6550" t="s">
        <v>443</v>
      </c>
      <c r="D6550" t="s">
        <v>12</v>
      </c>
      <c r="E6550">
        <v>2018</v>
      </c>
      <c r="F6550" t="s">
        <v>138</v>
      </c>
      <c r="G6550" t="s">
        <v>14</v>
      </c>
      <c r="H6550" t="s">
        <v>26</v>
      </c>
      <c r="I6550" t="s">
        <v>40</v>
      </c>
      <c r="J6550">
        <v>0.109274313</v>
      </c>
      <c r="K6550"/>
      <c r="L6550" s="1">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K6551"/>
      <c r="L6551" s="1">
        <v>62.819400000000002</v>
      </c>
      <c r="M6551">
        <v>4</v>
      </c>
    </row>
    <row r="6552" spans="1:13" x14ac:dyDescent="0.3">
      <c r="A6552" t="s">
        <v>10</v>
      </c>
      <c r="B6552">
        <v>6551</v>
      </c>
      <c r="C6552" t="s">
        <v>1013</v>
      </c>
      <c r="D6552" t="s">
        <v>54</v>
      </c>
      <c r="E6552">
        <v>2018</v>
      </c>
      <c r="F6552" t="s">
        <v>138</v>
      </c>
      <c r="G6552" t="s">
        <v>14</v>
      </c>
      <c r="H6552" t="s">
        <v>26</v>
      </c>
      <c r="I6552" t="s">
        <v>40</v>
      </c>
      <c r="J6552">
        <v>0.277459381</v>
      </c>
      <c r="K6552"/>
      <c r="L6552" s="1">
        <v>156.3946</v>
      </c>
      <c r="M6552">
        <v>4</v>
      </c>
    </row>
    <row r="6553" spans="1:13" x14ac:dyDescent="0.3">
      <c r="A6553" t="s">
        <v>10</v>
      </c>
      <c r="B6553">
        <v>6552</v>
      </c>
      <c r="C6553" t="s">
        <v>886</v>
      </c>
      <c r="D6553" t="s">
        <v>54</v>
      </c>
      <c r="E6553">
        <v>2018</v>
      </c>
      <c r="F6553" t="s">
        <v>138</v>
      </c>
      <c r="G6553" t="s">
        <v>14</v>
      </c>
      <c r="H6553" t="s">
        <v>26</v>
      </c>
      <c r="I6553" t="s">
        <v>40</v>
      </c>
      <c r="J6553">
        <v>1.4998914E-2</v>
      </c>
      <c r="K6553"/>
      <c r="L6553" s="1">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K6554"/>
      <c r="L6554" s="1">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K6555"/>
      <c r="L6555" s="1">
        <v>238.0248</v>
      </c>
      <c r="M6555">
        <v>4</v>
      </c>
    </row>
    <row r="6556" spans="1:13" x14ac:dyDescent="0.3">
      <c r="A6556" t="s">
        <v>10</v>
      </c>
      <c r="B6556">
        <v>6555</v>
      </c>
      <c r="C6556" t="s">
        <v>1559</v>
      </c>
      <c r="D6556" t="s">
        <v>54</v>
      </c>
      <c r="E6556">
        <v>2018</v>
      </c>
      <c r="F6556" t="s">
        <v>138</v>
      </c>
      <c r="G6556" t="s">
        <v>14</v>
      </c>
      <c r="H6556" t="s">
        <v>26</v>
      </c>
      <c r="I6556" t="s">
        <v>40</v>
      </c>
      <c r="J6556">
        <v>7.4729834999999994E-2</v>
      </c>
      <c r="K6556"/>
      <c r="L6556" s="1">
        <v>183.79499999999999</v>
      </c>
      <c r="M6556">
        <v>4</v>
      </c>
    </row>
    <row r="6557" spans="1:13" x14ac:dyDescent="0.3">
      <c r="A6557" t="s">
        <v>10</v>
      </c>
      <c r="B6557">
        <v>6556</v>
      </c>
      <c r="C6557" t="s">
        <v>1335</v>
      </c>
      <c r="D6557" t="s">
        <v>54</v>
      </c>
      <c r="E6557">
        <v>2018</v>
      </c>
      <c r="F6557" t="s">
        <v>138</v>
      </c>
      <c r="G6557" t="s">
        <v>14</v>
      </c>
      <c r="H6557" t="s">
        <v>26</v>
      </c>
      <c r="I6557" t="s">
        <v>40</v>
      </c>
      <c r="J6557">
        <v>1.9117392E-2</v>
      </c>
      <c r="K6557"/>
      <c r="L6557" s="1">
        <v>110.6544</v>
      </c>
      <c r="M6557">
        <v>4</v>
      </c>
    </row>
    <row r="6558" spans="1:13" x14ac:dyDescent="0.3">
      <c r="A6558" t="s">
        <v>10</v>
      </c>
      <c r="B6558">
        <v>6557</v>
      </c>
      <c r="C6558" t="s">
        <v>1439</v>
      </c>
      <c r="D6558" t="s">
        <v>54</v>
      </c>
      <c r="E6558">
        <v>2018</v>
      </c>
      <c r="F6558" t="s">
        <v>138</v>
      </c>
      <c r="G6558" t="s">
        <v>14</v>
      </c>
      <c r="H6558" t="s">
        <v>26</v>
      </c>
      <c r="I6558" t="s">
        <v>40</v>
      </c>
      <c r="J6558">
        <v>7.0017381000000004E-2</v>
      </c>
      <c r="K6558"/>
      <c r="L6558" s="1">
        <v>89.351399999999998</v>
      </c>
      <c r="M6558">
        <v>4</v>
      </c>
    </row>
    <row r="6559" spans="1:13" x14ac:dyDescent="0.3">
      <c r="A6559" t="s">
        <v>10</v>
      </c>
      <c r="B6559">
        <v>6558</v>
      </c>
      <c r="C6559" t="s">
        <v>193</v>
      </c>
      <c r="D6559" t="s">
        <v>153</v>
      </c>
      <c r="E6559">
        <v>2018</v>
      </c>
      <c r="F6559" t="s">
        <v>138</v>
      </c>
      <c r="G6559" t="s">
        <v>14</v>
      </c>
      <c r="H6559" t="s">
        <v>26</v>
      </c>
      <c r="I6559" t="s">
        <v>40</v>
      </c>
      <c r="J6559">
        <v>0.256152243</v>
      </c>
      <c r="K6559"/>
      <c r="L6559" s="1">
        <v>151.005</v>
      </c>
      <c r="M6559">
        <v>4</v>
      </c>
    </row>
    <row r="6560" spans="1:13" x14ac:dyDescent="0.3">
      <c r="A6560" t="s">
        <v>10</v>
      </c>
      <c r="B6560">
        <v>6559</v>
      </c>
      <c r="C6560" t="s">
        <v>1336</v>
      </c>
      <c r="D6560" t="s">
        <v>153</v>
      </c>
      <c r="E6560">
        <v>2018</v>
      </c>
      <c r="F6560" t="s">
        <v>138</v>
      </c>
      <c r="G6560" t="s">
        <v>14</v>
      </c>
      <c r="H6560" t="s">
        <v>26</v>
      </c>
      <c r="I6560" t="s">
        <v>40</v>
      </c>
      <c r="J6560">
        <v>0.24554262700000001</v>
      </c>
      <c r="K6560"/>
      <c r="L6560" s="1">
        <v>172.2764</v>
      </c>
      <c r="M6560">
        <v>4</v>
      </c>
    </row>
    <row r="6561" spans="1:13" x14ac:dyDescent="0.3">
      <c r="A6561" t="s">
        <v>10</v>
      </c>
      <c r="B6561">
        <v>6560</v>
      </c>
      <c r="C6561" t="s">
        <v>192</v>
      </c>
      <c r="D6561" t="s">
        <v>153</v>
      </c>
      <c r="E6561">
        <v>2018</v>
      </c>
      <c r="F6561" t="s">
        <v>138</v>
      </c>
      <c r="G6561" t="s">
        <v>14</v>
      </c>
      <c r="H6561" t="s">
        <v>26</v>
      </c>
      <c r="I6561" t="s">
        <v>40</v>
      </c>
      <c r="J6561">
        <v>0</v>
      </c>
      <c r="K6561"/>
      <c r="L6561" s="1">
        <v>184.35820000000001</v>
      </c>
      <c r="M6561">
        <v>4</v>
      </c>
    </row>
    <row r="6562" spans="1:13" x14ac:dyDescent="0.3">
      <c r="A6562" t="s">
        <v>10</v>
      </c>
      <c r="B6562">
        <v>6561</v>
      </c>
      <c r="C6562" t="s">
        <v>903</v>
      </c>
      <c r="D6562" t="s">
        <v>48</v>
      </c>
      <c r="E6562">
        <v>2018</v>
      </c>
      <c r="F6562" t="s">
        <v>138</v>
      </c>
      <c r="G6562" t="s">
        <v>14</v>
      </c>
      <c r="H6562" t="s">
        <v>26</v>
      </c>
      <c r="I6562" t="s">
        <v>40</v>
      </c>
      <c r="J6562">
        <v>2.363057E-2</v>
      </c>
      <c r="K6562"/>
      <c r="L6562" s="1">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K6563"/>
      <c r="L6563" s="1">
        <v>155.49719999999999</v>
      </c>
      <c r="M6563">
        <v>4</v>
      </c>
    </row>
    <row r="6564" spans="1:13" x14ac:dyDescent="0.3">
      <c r="A6564" t="s">
        <v>10</v>
      </c>
      <c r="B6564">
        <v>6563</v>
      </c>
      <c r="C6564" t="s">
        <v>699</v>
      </c>
      <c r="D6564" t="s">
        <v>48</v>
      </c>
      <c r="E6564">
        <v>2018</v>
      </c>
      <c r="F6564" t="s">
        <v>138</v>
      </c>
      <c r="G6564" t="s">
        <v>14</v>
      </c>
      <c r="H6564" t="s">
        <v>26</v>
      </c>
      <c r="I6564" t="s">
        <v>40</v>
      </c>
      <c r="J6564">
        <v>5.7620562E-2</v>
      </c>
      <c r="K6564"/>
      <c r="L6564" s="1">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K6565"/>
      <c r="L6565" s="1">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K6566"/>
      <c r="L6566" s="1">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K6567"/>
      <c r="L6567" s="1">
        <v>163.98419999999999</v>
      </c>
      <c r="M6567">
        <v>4</v>
      </c>
    </row>
    <row r="6568" spans="1:13" x14ac:dyDescent="0.3">
      <c r="A6568" t="s">
        <v>10</v>
      </c>
      <c r="B6568">
        <v>6567</v>
      </c>
      <c r="C6568" t="s">
        <v>520</v>
      </c>
      <c r="D6568" t="s">
        <v>32</v>
      </c>
      <c r="E6568">
        <v>2018</v>
      </c>
      <c r="F6568" t="s">
        <v>138</v>
      </c>
      <c r="G6568" t="s">
        <v>14</v>
      </c>
      <c r="H6568" t="s">
        <v>26</v>
      </c>
      <c r="I6568" t="s">
        <v>40</v>
      </c>
      <c r="J6568">
        <v>0.223985293</v>
      </c>
      <c r="K6568"/>
      <c r="L6568" s="1">
        <v>186.29239999999999</v>
      </c>
      <c r="M6568">
        <v>4</v>
      </c>
    </row>
    <row r="6569" spans="1:13" x14ac:dyDescent="0.3">
      <c r="A6569" t="s">
        <v>10</v>
      </c>
      <c r="B6569">
        <v>6568</v>
      </c>
      <c r="C6569" t="s">
        <v>960</v>
      </c>
      <c r="D6569" t="s">
        <v>32</v>
      </c>
      <c r="E6569">
        <v>2018</v>
      </c>
      <c r="F6569" t="s">
        <v>138</v>
      </c>
      <c r="G6569" t="s">
        <v>14</v>
      </c>
      <c r="H6569" t="s">
        <v>26</v>
      </c>
      <c r="I6569" t="s">
        <v>40</v>
      </c>
      <c r="J6569">
        <v>0.13511877</v>
      </c>
      <c r="K6569"/>
      <c r="L6569" s="1">
        <v>232.9958</v>
      </c>
      <c r="M6569">
        <v>4</v>
      </c>
    </row>
    <row r="6570" spans="1:13" x14ac:dyDescent="0.3">
      <c r="A6570" t="s">
        <v>10</v>
      </c>
      <c r="B6570">
        <v>6569</v>
      </c>
      <c r="C6570" t="s">
        <v>277</v>
      </c>
      <c r="D6570" t="s">
        <v>159</v>
      </c>
      <c r="E6570">
        <v>2018</v>
      </c>
      <c r="F6570" t="s">
        <v>138</v>
      </c>
      <c r="G6570" t="s">
        <v>14</v>
      </c>
      <c r="H6570" t="s">
        <v>26</v>
      </c>
      <c r="I6570" t="s">
        <v>40</v>
      </c>
      <c r="J6570">
        <v>9.7849200000000008E-3</v>
      </c>
      <c r="K6570"/>
      <c r="L6570" s="1">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K6571"/>
      <c r="L6571" s="1">
        <v>113.5544</v>
      </c>
      <c r="M6571">
        <v>4</v>
      </c>
    </row>
    <row r="6572" spans="1:13" x14ac:dyDescent="0.3">
      <c r="A6572" t="s">
        <v>35</v>
      </c>
      <c r="B6572">
        <v>6571</v>
      </c>
      <c r="C6572" t="s">
        <v>1301</v>
      </c>
      <c r="D6572" t="s">
        <v>28</v>
      </c>
      <c r="E6572">
        <v>2018</v>
      </c>
      <c r="F6572" t="s">
        <v>138</v>
      </c>
      <c r="G6572" t="s">
        <v>14</v>
      </c>
      <c r="H6572" t="s">
        <v>26</v>
      </c>
      <c r="I6572" t="s">
        <v>40</v>
      </c>
      <c r="J6572">
        <v>3.7131628E-2</v>
      </c>
      <c r="K6572"/>
      <c r="L6572" s="1">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K6573"/>
      <c r="L6573" s="1">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K6574"/>
      <c r="L6574" s="1">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s="1">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s="1">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s="1">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s="1">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s="1">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s="1">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s="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s="1">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s="1">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s="1">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s="1">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s="1">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s="1">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s="1">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s="1">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s="1">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s="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s="1">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s="1">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s="1">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s="1">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s="1">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s="1">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s="1">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s="1">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s="1">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s="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s="1">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s="1">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s="1">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s="1">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s="1">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s="1">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s="1">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s="1">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s="1">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s="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s="1">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s="1">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s="1">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s="1">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s="1">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s="1">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s="1">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s="1">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s="1">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s="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s="1">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s="1">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s="1">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s="1">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s="1">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s="1">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s="1">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s="1">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s="1">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s="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s="1">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s="1">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s="1">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s="1">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s="1">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s="1">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s="1">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s="1">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s="1">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s="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s="1">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s="1">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s="1">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s="1">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s="1">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s="1">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s="1">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s="1">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s="1">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s="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s="1">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s="1">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s="1">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s="1">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s="1">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s="1">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s="1">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s="1">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s="1">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s="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s="1">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s="1">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s="1">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s="1">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s="1">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s="1">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s="1">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s="1">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s="1">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s="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s="1">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s="1">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s="1">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s="1">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s="1">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s="1">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s="1">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s="1">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s="1">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s="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s="1">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s="1">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s="1">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s="1">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s="1">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s="1">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s="1">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s="1">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s="1">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s="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s="1">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s="1">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s="1">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s="1">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s="1">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s="1">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s="1">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s="1">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s="1">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s="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s="1">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s="1">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s="1">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s="1">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s="1">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s="1">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s="1">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s="1">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s="1">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s="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s="1">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s="1">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s="1">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s="1">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s="1">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s="1">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s="1">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s="1">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s="1">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s="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s="1">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s="1">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s="1">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s="1">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s="1">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s="1">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s="1">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s="1">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s="1">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s="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s="1">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s="1">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s="1">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s="1">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s="1">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s="1">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s="1">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s="1">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s="1">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s="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s="1">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s="1">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s="1">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s="1">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s="1">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s="1">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s="1">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s="1">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s="1">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s="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s="1">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s="1">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s="1">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s="1">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s="1">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s="1">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s="1">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s="1">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s="1">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s="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s="1">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s="1">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s="1">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s="1">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s="1">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s="1">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s="1">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s="1">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s="1">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s="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s="1">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s="1">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s="1">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s="1">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s="1">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s="1">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s="1">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s="1">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s="1">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s="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s="1">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s="1">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s="1">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s="1">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s="1">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s="1">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s="1">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s="1">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s="1">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s="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s="1">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s="1">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s="1">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s="1">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s="1">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s="1">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s="1">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s="1">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s="1">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s="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s="1">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s="1">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s="1">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s="1">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s="1">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s="1">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s="1">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s="1">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s="1">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s="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s="1">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s="1">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s="1">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s="1">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s="1">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s="1">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s="1">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s="1">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s="1">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s="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s="1">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s="1">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s="1">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s="1">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s="1">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s="1">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s="1">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s="1">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s="1">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s="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s="1">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s="1">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s="1">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s="1">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s="1">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s="1">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s="1">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s="1">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s="1">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s="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s="1">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s="1">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s="1">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s="1">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s="1">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s="1">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s="1">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s="1">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s="1">
        <v>177.637</v>
      </c>
      <c r="M6850">
        <v>4</v>
      </c>
    </row>
    <row r="6851" spans="1:13" x14ac:dyDescent="0.3">
      <c r="A6851" t="s">
        <v>17</v>
      </c>
      <c r="B6851">
        <v>6850</v>
      </c>
      <c r="C6851" t="s">
        <v>1187</v>
      </c>
      <c r="D6851" t="s">
        <v>95</v>
      </c>
      <c r="E6851">
        <v>2015</v>
      </c>
      <c r="F6851" t="s">
        <v>33</v>
      </c>
      <c r="G6851" t="s">
        <v>34</v>
      </c>
      <c r="H6851" t="s">
        <v>15</v>
      </c>
      <c r="I6851" t="s">
        <v>16</v>
      </c>
      <c r="J6851">
        <v>0</v>
      </c>
      <c r="K6851">
        <v>11.3</v>
      </c>
      <c r="L6851" s="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s="1">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s="1">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s="1">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s="1">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s="1">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s="1">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s="1">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s="1">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s="1">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s="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s="1">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s="1">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s="1">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s="1">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s="1">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s="1">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s="1">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s="1">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s="1">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s="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s="1">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s="1">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s="1">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s="1">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s="1">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s="1">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s="1">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s="1">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s="1">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s="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s="1">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s="1">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s="1">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s="1">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s="1">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s="1">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s="1">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s="1">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s="1">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s="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s="1">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s="1">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s="1">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s="1">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s="1">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s="1">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s="1">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s="1">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s="1">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s="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s="1">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s="1">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s="1">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s="1">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s="1">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s="1">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s="1">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s="1">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s="1">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s="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s="1">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s="1">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s="1">
        <v>232.9616</v>
      </c>
      <c r="M6914">
        <v>4</v>
      </c>
    </row>
    <row r="6915" spans="1:13" x14ac:dyDescent="0.3">
      <c r="A6915" t="s">
        <v>17</v>
      </c>
      <c r="B6915">
        <v>6914</v>
      </c>
      <c r="C6915" t="s">
        <v>1326</v>
      </c>
      <c r="D6915" t="s">
        <v>61</v>
      </c>
      <c r="E6915">
        <v>2015</v>
      </c>
      <c r="F6915" t="s">
        <v>33</v>
      </c>
      <c r="G6915" t="s">
        <v>34</v>
      </c>
      <c r="H6915" t="s">
        <v>15</v>
      </c>
      <c r="I6915" t="s">
        <v>16</v>
      </c>
      <c r="J6915">
        <v>0</v>
      </c>
      <c r="K6915">
        <v>9.5</v>
      </c>
      <c r="L6915" s="1">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s="1">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s="1">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s="1">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s="1">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s="1">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s="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s="1">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s="1">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s="1">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s="1">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s="1">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s="1">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s="1">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s="1">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s="1">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s="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s="1">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s="1">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s="1">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s="1">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s="1">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s="1">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s="1">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s="1">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s="1">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s="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s="1">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s="1">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s="1">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s="1">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s="1">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s="1">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s="1">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s="1">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s="1">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s="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s="1">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s="1">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s="1">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s="1">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s="1">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s="1">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s="1">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s="1">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s="1">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s="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s="1">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s="1">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s="1">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s="1">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s="1">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s="1">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s="1">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s="1">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s="1">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s="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s="1">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s="1">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s="1">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s="1">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s="1">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s="1">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s="1">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s="1">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s="1">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s="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s="1">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s="1">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s="1">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s="1">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s="1">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s="1">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s="1">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s="1">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s="1">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s="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s="1">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s="1">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s="1">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s="1">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s="1">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s="1">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s="1">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s="1">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s="1">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s="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s="1">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s="1">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s="1">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s="1">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s="1">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s="1">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s="1">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s="1">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s="1">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s="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s="1">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s="1">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s="1">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s="1">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s="1">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s="1">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s="1">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s="1">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s="1">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s="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s="1">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s="1">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s="1">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s="1">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s="1">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s="1">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s="1">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s="1">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s="1">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s="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s="1">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s="1">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s="1">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s="1">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s="1">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s="1">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s="1">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s="1">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s="1">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s="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s="1">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s="1">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s="1">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s="1">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s="1">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s="1">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s="1">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s="1">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s="1">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s="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s="1">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s="1">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s="1">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s="1">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s="1">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s="1">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s="1">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s="1">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s="1">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s="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s="1">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s="1">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s="1">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s="1">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s="1">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s="1">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s="1">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s="1">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s="1">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s="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s="1">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s="1">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s="1">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s="1">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s="1">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s="1">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s="1">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s="1">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s="1">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s="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s="1">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s="1">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s="1">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s="1">
        <v>129.6626</v>
      </c>
      <c r="M7085">
        <v>4</v>
      </c>
    </row>
    <row r="7086" spans="1:13" x14ac:dyDescent="0.3">
      <c r="A7086" t="s">
        <v>17</v>
      </c>
      <c r="B7086">
        <v>7085</v>
      </c>
      <c r="C7086" t="s">
        <v>1021</v>
      </c>
      <c r="D7086" t="s">
        <v>19</v>
      </c>
      <c r="E7086">
        <v>2020</v>
      </c>
      <c r="F7086" t="s">
        <v>37</v>
      </c>
      <c r="G7086" t="s">
        <v>34</v>
      </c>
      <c r="H7086" t="s">
        <v>26</v>
      </c>
      <c r="I7086" t="s">
        <v>16</v>
      </c>
      <c r="J7086">
        <v>0</v>
      </c>
      <c r="K7086">
        <v>12</v>
      </c>
      <c r="L7086" s="1">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s="1">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s="1">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s="1">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s="1">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s="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s="1">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s="1">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s="1">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s="1">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s="1">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s="1">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s="1">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s="1">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s="1">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s="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s="1">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s="1">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s="1">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s="1">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s="1">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s="1">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s="1">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s="1">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s="1">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s="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s="1">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s="1">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s="1">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s="1">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s="1">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s="1">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s="1">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s="1">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s="1">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s="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s="1">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s="1">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s="1">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s="1">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s="1">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s="1">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s="1">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s="1">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s="1">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s="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s="1">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s="1">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s="1">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s="1">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s="1">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s="1">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s="1">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s="1">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s="1">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s="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s="1">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s="1">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s="1">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s="1">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s="1">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s="1">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s="1">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s="1">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s="1">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s="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s="1">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s="1">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s="1">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s="1">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s="1">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s="1">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s="1">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s="1">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s="1">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s="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s="1">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s="1">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s="1">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s="1">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s="1">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s="1">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s="1">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s="1">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s="1">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s="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s="1">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s="1">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s="1">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s="1">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s="1">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s="1">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s="1">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s="1">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s="1">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s="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s="1">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s="1">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s="1">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s="1">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s="1">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s="1">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s="1">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s="1">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s="1">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s="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s="1">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s="1">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s="1">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s="1">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s="1">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s="1">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s="1">
        <v>106.1306</v>
      </c>
      <c r="M7198">
        <v>4</v>
      </c>
    </row>
    <row r="7199" spans="1:13" x14ac:dyDescent="0.3">
      <c r="A7199" t="s">
        <v>10</v>
      </c>
      <c r="B7199">
        <v>7198</v>
      </c>
      <c r="C7199" t="s">
        <v>939</v>
      </c>
      <c r="D7199" t="s">
        <v>24</v>
      </c>
      <c r="E7199">
        <v>2015</v>
      </c>
      <c r="F7199" t="s">
        <v>33</v>
      </c>
      <c r="G7199" t="s">
        <v>34</v>
      </c>
      <c r="H7199" t="s">
        <v>30</v>
      </c>
      <c r="I7199" t="s">
        <v>16</v>
      </c>
      <c r="J7199">
        <v>0</v>
      </c>
      <c r="K7199">
        <v>7.47</v>
      </c>
      <c r="L7199" s="1">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s="1">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s="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s="1">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s="1">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s="1">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s="1">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s="1">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s="1">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s="1">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s="1">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s="1">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s="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s="1">
        <v>119.1808</v>
      </c>
      <c r="M7212">
        <v>4</v>
      </c>
    </row>
    <row r="7213" spans="1:13" x14ac:dyDescent="0.3">
      <c r="A7213" t="s">
        <v>10</v>
      </c>
      <c r="B7213">
        <v>7212</v>
      </c>
      <c r="C7213" t="s">
        <v>868</v>
      </c>
      <c r="D7213" t="s">
        <v>12</v>
      </c>
      <c r="E7213">
        <v>2015</v>
      </c>
      <c r="F7213" t="s">
        <v>33</v>
      </c>
      <c r="G7213" t="s">
        <v>34</v>
      </c>
      <c r="H7213" t="s">
        <v>30</v>
      </c>
      <c r="I7213" t="s">
        <v>16</v>
      </c>
      <c r="J7213">
        <v>0</v>
      </c>
      <c r="K7213">
        <v>10.3</v>
      </c>
      <c r="L7213" s="1">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s="1">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s="1">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s="1">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s="1">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s="1">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s="1">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s="1">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s="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s="1">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s="1">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s="1">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s="1">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s="1">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s="1">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s="1">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s="1">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s="1">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s="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s="1">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s="1">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s="1">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s="1">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s="1">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s="1">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s="1">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s="1">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s="1">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s="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s="1">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s="1">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s="1">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s="1">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s="1">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s="1">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s="1">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s="1">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s="1">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s="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s="1">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s="1">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s="1">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s="1">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s="1">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s="1">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s="1">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s="1">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s="1">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s="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s="1">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s="1">
        <v>198.411</v>
      </c>
      <c r="M7263">
        <v>4</v>
      </c>
    </row>
    <row r="7264" spans="1:13" x14ac:dyDescent="0.3">
      <c r="A7264" t="s">
        <v>10</v>
      </c>
      <c r="B7264">
        <v>7263</v>
      </c>
      <c r="C7264" t="s">
        <v>121</v>
      </c>
      <c r="D7264" t="s">
        <v>95</v>
      </c>
      <c r="E7264">
        <v>2020</v>
      </c>
      <c r="F7264" t="s">
        <v>37</v>
      </c>
      <c r="G7264" t="s">
        <v>34</v>
      </c>
      <c r="H7264" t="s">
        <v>30</v>
      </c>
      <c r="I7264" t="s">
        <v>16</v>
      </c>
      <c r="J7264">
        <v>0</v>
      </c>
      <c r="K7264">
        <v>20.7</v>
      </c>
      <c r="L7264" s="1">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s="1">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s="1">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s="1">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s="1">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s="1">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s="1">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s="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s="1">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s="1">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s="1">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s="1">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s="1">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s="1">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s="1">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s="1">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s="1">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s="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s="1">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s="1">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s="1">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s="1">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s="1">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s="1">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s="1">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s="1">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s="1">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s="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s="1">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s="1">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s="1">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s="1">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s="1">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s="1">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s="1">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s="1">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s="1">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s="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s="1">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s="1">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s="1">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s="1">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s="1">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s="1">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s="1">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s="1">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s="1">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s="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s="1">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s="1">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s="1">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s="1">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s="1">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s="1">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s="1">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s="1">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s="1">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s="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s="1">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s="1">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s="1">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s="1">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s="1">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s="1">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s="1">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s="1">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s="1">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s="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s="1">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s="1">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s="1">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s="1">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s="1">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s="1">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s="1">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s="1">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s="1">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s="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s="1">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s="1">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s="1">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s="1">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s="1">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s="1">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s="1">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s="1">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s="1">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s="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s="1">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s="1">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s="1">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s="1">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s="1">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s="1">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s="1">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s="1">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s="1">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s="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s="1">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s="1">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s="1">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s="1">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s="1">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s="1">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s="1">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s="1">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s="1">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s="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s="1">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s="1">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s="1">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s="1">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s="1">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s="1">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s="1">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s="1">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s="1">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s="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s="1">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s="1">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s="1">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s="1">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s="1">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s="1">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s="1">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s="1">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s="1">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s="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s="1">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s="1">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s="1">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s="1">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s="1">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s="1">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s="1">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s="1">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s="1">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s="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s="1">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s="1">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s="1">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s="1">
        <v>151.3366</v>
      </c>
      <c r="M7405">
        <v>4</v>
      </c>
    </row>
    <row r="7406" spans="1:13" x14ac:dyDescent="0.3">
      <c r="A7406" t="s">
        <v>17</v>
      </c>
      <c r="B7406">
        <v>7405</v>
      </c>
      <c r="C7406" t="s">
        <v>909</v>
      </c>
      <c r="D7406" t="s">
        <v>12</v>
      </c>
      <c r="E7406">
        <v>2017</v>
      </c>
      <c r="F7406" t="s">
        <v>50</v>
      </c>
      <c r="G7406" t="s">
        <v>34</v>
      </c>
      <c r="H7406" t="s">
        <v>26</v>
      </c>
      <c r="I7406" t="s">
        <v>16</v>
      </c>
      <c r="J7406">
        <v>0</v>
      </c>
      <c r="K7406">
        <v>12.1</v>
      </c>
      <c r="L7406" s="1">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s="1">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s="1">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s="1">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s="1">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s="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s="1">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s="1">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s="1">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s="1">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s="1">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s="1">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s="1">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s="1">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s="1">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s="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s="1">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s="1">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s="1">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s="1">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s="1">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s="1">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s="1">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s="1">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s="1">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s="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s="1">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s="1">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s="1">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s="1">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s="1">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s="1">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s="1">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s="1">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s="1">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s="1">
        <v>105.6622</v>
      </c>
      <c r="M7441">
        <v>4</v>
      </c>
    </row>
    <row r="7442" spans="1:13" x14ac:dyDescent="0.3">
      <c r="A7442" t="s">
        <v>17</v>
      </c>
      <c r="B7442">
        <v>7441</v>
      </c>
      <c r="C7442" t="s">
        <v>894</v>
      </c>
      <c r="D7442" t="s">
        <v>42</v>
      </c>
      <c r="E7442">
        <v>2017</v>
      </c>
      <c r="F7442" t="s">
        <v>50</v>
      </c>
      <c r="G7442" t="s">
        <v>34</v>
      </c>
      <c r="H7442" t="s">
        <v>26</v>
      </c>
      <c r="I7442" t="s">
        <v>16</v>
      </c>
      <c r="J7442">
        <v>0</v>
      </c>
      <c r="K7442">
        <v>9.6</v>
      </c>
      <c r="L7442" s="1">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s="1">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s="1">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s="1">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s="1">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s="1">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s="1">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s="1">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s="1">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s="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s="1">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s="1">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s="1">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s="1">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s="1">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s="1">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s="1">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s="1">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s="1">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s="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s="1">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s="1">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s="1">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s="1">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s="1">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s="1">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s="1">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s="1">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s="1">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s="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s="1">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s="1">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s="1">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s="1">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s="1">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s="1">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s="1">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s="1">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s="1">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s="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s="1">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s="1">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s="1">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s="1">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s="1">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s="1">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s="1">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s="1">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s="1">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s="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s="1">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s="1">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s="1">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s="1">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s="1">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s="1">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s="1">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s="1">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s="1">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s="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s="1">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s="1">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s="1">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s="1">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s="1">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s="1">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s="1">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s="1">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s="1">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s="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s="1">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s="1">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s="1">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s="1">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s="1">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s="1">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s="1">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s="1">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s="1">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s="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s="1">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s="1">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s="1">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s="1">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s="1">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s="1">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s="1">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s="1">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s="1">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s="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s="1">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s="1">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s="1">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s="1">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s="1">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s="1">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s="1">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s="1">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s="1">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s="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s="1">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s="1">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s="1">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s="1">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s="1">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s="1">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s="1">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s="1">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s="1">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s="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s="1">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s="1">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s="1">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s="1">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s="1">
        <v>169.279</v>
      </c>
      <c r="M7556">
        <v>4</v>
      </c>
    </row>
    <row r="7557" spans="1:13" x14ac:dyDescent="0.3">
      <c r="A7557" t="s">
        <v>10</v>
      </c>
      <c r="B7557">
        <v>7556</v>
      </c>
      <c r="C7557" t="s">
        <v>1010</v>
      </c>
      <c r="D7557" t="s">
        <v>12</v>
      </c>
      <c r="E7557">
        <v>2017</v>
      </c>
      <c r="F7557" t="s">
        <v>50</v>
      </c>
      <c r="G7557" t="s">
        <v>34</v>
      </c>
      <c r="H7557" t="s">
        <v>26</v>
      </c>
      <c r="I7557" t="s">
        <v>16</v>
      </c>
      <c r="J7557">
        <v>0</v>
      </c>
      <c r="K7557">
        <v>14.5</v>
      </c>
      <c r="L7557" s="1">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s="1">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s="1">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s="1">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s="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s="1">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s="1">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s="1">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s="1">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s="1">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s="1">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s="1">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s="1">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s="1">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s="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s="1">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s="1">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s="1">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s="1">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s="1">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s="1">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s="1">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s="1">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s="1">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s="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s="1">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s="1">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s="1">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s="1">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s="1">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s="1">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s="1">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s="1">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s="1">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s="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s="1">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s="1">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s="1">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s="1">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s="1">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s="1">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s="1">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s="1">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s="1">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s="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s="1">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s="1">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s="1">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s="1">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s="1">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s="1">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s="1">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s="1">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s="1">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s="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s="1">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s="1">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s="1">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s="1">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s="1">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s="1">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s="1">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s="1">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s="1">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s="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s="1">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s="1">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s="1">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s="1">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s="1">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s="1">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s="1">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s="1">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s="1">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s="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s="1">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s="1">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s="1">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s="1">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s="1">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s="1">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s="1">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s="1">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s="1">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s="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s="1">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s="1">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s="1">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s="1">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s="1">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s="1">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s="1">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s="1">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s="1">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s="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s="1">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s="1">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s="1">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s="1">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s="1">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s="1">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s="1">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s="1">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s="1">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s="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s="1">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s="1">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s="1">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s="1">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s="1">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s="1">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s="1">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s="1">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s="1">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s="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s="1">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s="1">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s="1">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s="1">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s="1">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s="1">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s="1">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s="1">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s="1">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s="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s="1">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s="1">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s="1">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s="1">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s="1">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s="1">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s="1">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s="1">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s="1">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s="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s="1">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s="1">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s="1">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s="1">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s="1">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s="1">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s="1">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s="1">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s="1">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s="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s="1">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s="1">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s="1">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s="1">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s="1">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s="1">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s="1">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s="1">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s="1">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s="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s="1">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s="1">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s="1">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s="1">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s="1">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s="1">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s="1">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s="1">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s="1">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s="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s="1">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s="1">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s="1">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s="1">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s="1">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s="1">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s="1">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s="1">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s="1">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s="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s="1">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s="1">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s="1">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s="1">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s="1">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s="1">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s="1">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s="1">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s="1">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s="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s="1">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s="1">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s="1">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s="1">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s="1">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s="1">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s="1">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s="1">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s="1">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s="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s="1">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s="1">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s="1">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s="1">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s="1">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s="1">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s="1">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s="1">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s="1">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s="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s="1">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s="1">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s="1">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s="1">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s="1">
        <v>133.1942</v>
      </c>
      <c r="M7766">
        <v>4</v>
      </c>
    </row>
    <row r="7767" spans="1:13" x14ac:dyDescent="0.3">
      <c r="A7767" t="s">
        <v>17</v>
      </c>
      <c r="B7767">
        <v>7766</v>
      </c>
      <c r="C7767" t="s">
        <v>875</v>
      </c>
      <c r="D7767" t="s">
        <v>28</v>
      </c>
      <c r="E7767">
        <v>2014</v>
      </c>
      <c r="F7767" t="s">
        <v>29</v>
      </c>
      <c r="G7767" t="s">
        <v>21</v>
      </c>
      <c r="H7767" t="s">
        <v>30</v>
      </c>
      <c r="I7767" t="s">
        <v>16</v>
      </c>
      <c r="J7767">
        <v>0</v>
      </c>
      <c r="K7767">
        <v>16.2</v>
      </c>
      <c r="L7767" s="1">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s="1">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s="1">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s="1">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s="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s="1">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s="1">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s="1">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s="1">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s="1">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s="1">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s="1">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s="1">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s="1">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s="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s="1">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s="1">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s="1">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s="1">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s="1">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s="1">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s="1">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s="1">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s="1">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s="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s="1">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s="1">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s="1">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s="1">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s="1">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s="1">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s="1">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s="1">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s="1">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s="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s="1">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s="1">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s="1">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s="1">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s="1">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s="1">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s="1">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s="1">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s="1">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s="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s="1">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s="1">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s="1">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s="1">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s="1">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s="1">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s="1">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s="1">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s="1">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s="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s="1">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s="1">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s="1">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s="1">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s="1">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s="1">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s="1">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s="1">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s="1">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s="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s="1">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s="1">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s="1">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s="1">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s="1">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s="1">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s="1">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s="1">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s="1">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s="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s="1">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s="1">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s="1">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s="1">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s="1">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s="1">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s="1">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s="1">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s="1">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s="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s="1">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s="1">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s="1">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s="1">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s="1">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s="1">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s="1">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s="1">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s="1">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s="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s="1">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s="1">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s="1">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s="1">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s="1">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s="1">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s="1">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s="1">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s="1">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s="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s="1">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s="1">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s="1">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s="1">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s="1">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s="1">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s="1">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s="1">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s="1">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s="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s="1">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s="1">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s="1">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s="1">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s="1">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s="1">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s="1">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s="1">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s="1">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s="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s="1">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s="1">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s="1">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s="1">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s="1">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s="1">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s="1">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s="1">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s="1">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s="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s="1">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s="1">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s="1">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s="1">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s="1">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s="1">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s="1">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s="1">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s="1">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s="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s="1">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s="1">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s="1">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s="1">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s="1">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s="1">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s="1">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s="1">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s="1">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s="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s="1">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s="1">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s="1">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s="1">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s="1">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s="1">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s="1">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s="1">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s="1">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s="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s="1">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s="1">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s="1">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s="1">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s="1">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s="1">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s="1">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s="1">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s="1">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s="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s="1">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s="1">
        <v>113.8492</v>
      </c>
      <c r="M7943">
        <v>4</v>
      </c>
    </row>
    <row r="7944" spans="1:13" x14ac:dyDescent="0.3">
      <c r="A7944" t="s">
        <v>10</v>
      </c>
      <c r="B7944">
        <v>7943</v>
      </c>
      <c r="C7944" t="s">
        <v>257</v>
      </c>
      <c r="D7944" t="s">
        <v>12</v>
      </c>
      <c r="E7944">
        <v>2014</v>
      </c>
      <c r="F7944" t="s">
        <v>29</v>
      </c>
      <c r="G7944" t="s">
        <v>21</v>
      </c>
      <c r="H7944" t="s">
        <v>30</v>
      </c>
      <c r="I7944" t="s">
        <v>16</v>
      </c>
      <c r="J7944">
        <v>0</v>
      </c>
      <c r="K7944">
        <v>10.1</v>
      </c>
      <c r="L7944" s="1">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s="1">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s="1">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s="1">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s="1">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s="1">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s="1">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s="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s="1">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s="1">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s="1">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s="1">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s="1">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s="1">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s="1">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s="1">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s="1">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s="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s="1">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s="1">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s="1">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s="1">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s="1">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s="1">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s="1">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s="1">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s="1">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s="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s="1">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s="1">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s="1">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s="1">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s="1">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s="1">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s="1">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s="1">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s="1">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s="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s="1">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s="1">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s="1">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s="1">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s="1">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s="1">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s="1">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s="1">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s="1">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s="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s="1">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s="1">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s="1">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s="1">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s="1">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s="1">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s="1">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s="1">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s="1">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s="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s="1">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s="1">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s="1">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s="1">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s="1">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s="1">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s="1">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s="1">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s="1">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s="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s="1">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s="1">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s="1">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s="1">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s="1">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s="1">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s="1">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s="1">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s="1">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s="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s="1">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s="1">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s="1">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s="1">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s="1">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s="1">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s="1">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s="1">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s="1">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s="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s="1">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s="1">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s="1">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s="1">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s="1">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s="1">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s="1">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s="1">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s="1">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s="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s="1">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s="1">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s="1">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s="1">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s="1">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s="1">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s="1">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s="1">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s="1">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s="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s="1">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s="1">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s="1">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s="1">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s="1">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s="1">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s="1">
        <v>100.9674</v>
      </c>
      <c r="M8058">
        <v>4</v>
      </c>
    </row>
    <row r="8059" spans="1:13" x14ac:dyDescent="0.3">
      <c r="A8059" t="s">
        <v>17</v>
      </c>
      <c r="B8059">
        <v>8058</v>
      </c>
      <c r="C8059" t="s">
        <v>532</v>
      </c>
      <c r="D8059" t="s">
        <v>19</v>
      </c>
      <c r="E8059">
        <v>2022</v>
      </c>
      <c r="F8059" t="s">
        <v>20</v>
      </c>
      <c r="G8059" t="s">
        <v>21</v>
      </c>
      <c r="H8059" t="s">
        <v>15</v>
      </c>
      <c r="I8059" t="s">
        <v>22</v>
      </c>
      <c r="J8059">
        <v>0</v>
      </c>
      <c r="K8059">
        <v>5.51</v>
      </c>
      <c r="L8059" s="1">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s="1">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s="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s="1">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s="1">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s="1">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s="1">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s="1">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s="1">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s="1">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s="1">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s="1">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s="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s="1">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s="1">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s="1">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s="1">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s="1">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s="1">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s="1">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s="1">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s="1">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s="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s="1">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s="1">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s="1">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s="1">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s="1">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s="1">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s="1">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s="1">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s="1">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s="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s="1">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s="1">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s="1">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s="1">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s="1">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s="1">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s="1">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s="1">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s="1">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s="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s="1">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s="1">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s="1">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s="1">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s="1">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s="1">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s="1">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s="1">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s="1">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s="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s="1">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s="1">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s="1">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s="1">
        <v>178.566</v>
      </c>
      <c r="M8115">
        <v>4</v>
      </c>
    </row>
    <row r="8116" spans="1:13" x14ac:dyDescent="0.3">
      <c r="A8116" t="s">
        <v>17</v>
      </c>
      <c r="B8116">
        <v>8115</v>
      </c>
      <c r="C8116" t="s">
        <v>245</v>
      </c>
      <c r="D8116" t="s">
        <v>64</v>
      </c>
      <c r="E8116">
        <v>2022</v>
      </c>
      <c r="F8116" t="s">
        <v>20</v>
      </c>
      <c r="G8116" t="s">
        <v>21</v>
      </c>
      <c r="H8116" t="s">
        <v>15</v>
      </c>
      <c r="I8116" t="s">
        <v>22</v>
      </c>
      <c r="J8116">
        <v>0</v>
      </c>
      <c r="K8116">
        <v>17.75</v>
      </c>
      <c r="L8116" s="1">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s="1">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s="1">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s="1">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s="1">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s="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s="1">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s="1">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s="1">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s="1">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s="1">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s="1">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s="1">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s="1">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s="1">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s="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s="1">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s="1">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s="1">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s="1">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s="1">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s="1">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s="1">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s="1">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s="1">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s="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s="1">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s="1">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s="1">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s="1">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s="1">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s="1">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s="1">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s="1">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s="1">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s="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s="1">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s="1">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s="1">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s="1">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s="1">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s="1">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s="1">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s="1">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s="1">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s="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s="1">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s="1">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s="1">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s="1">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s="1">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s="1">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s="1">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s="1">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s="1">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s="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s="1">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s="1">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s="1">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s="1">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s="1">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s="1">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s="1">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s="1">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s="1">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s="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s="1">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s="1">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s="1">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s="1">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s="1">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s="1">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s="1">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s="1">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s="1">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s="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s="1">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s="1">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s="1">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s="1">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s="1">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s="1">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s="1">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s="1">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s="1">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s="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s="1">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s="1">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s="1">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s="1">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s="1">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s="1">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s="1">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s="1">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s="1">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s="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s="1">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s="1">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s="1">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s="1">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s="1">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s="1">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s="1">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s="1">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s="1">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s="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s="1">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s="1">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s="1">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s="1">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s="1">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s="1">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s="1">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s="1">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s="1">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s="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s="1">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s="1">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s="1">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s="1">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s="1">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s="1">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s="1">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s="1">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s="1">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s="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s="1">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s="1">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s="1">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s="1">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s="1">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s="1">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K8248"/>
      <c r="L8248" s="1">
        <v>106.26220000000001</v>
      </c>
      <c r="M8248">
        <v>4</v>
      </c>
    </row>
    <row r="8249" spans="1:13" x14ac:dyDescent="0.3">
      <c r="A8249" t="s">
        <v>17</v>
      </c>
      <c r="B8249">
        <v>8248</v>
      </c>
      <c r="C8249" t="s">
        <v>662</v>
      </c>
      <c r="D8249" t="s">
        <v>57</v>
      </c>
      <c r="E8249">
        <v>2018</v>
      </c>
      <c r="F8249" t="s">
        <v>45</v>
      </c>
      <c r="G8249" t="s">
        <v>21</v>
      </c>
      <c r="H8249" t="s">
        <v>15</v>
      </c>
      <c r="I8249" t="s">
        <v>46</v>
      </c>
      <c r="J8249">
        <v>0</v>
      </c>
      <c r="K8249"/>
      <c r="L8249" s="1">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K8250"/>
      <c r="L8250" s="1">
        <v>99.7042</v>
      </c>
      <c r="M8250">
        <v>4</v>
      </c>
    </row>
    <row r="8251" spans="1:13" x14ac:dyDescent="0.3">
      <c r="A8251" t="s">
        <v>17</v>
      </c>
      <c r="B8251">
        <v>8250</v>
      </c>
      <c r="C8251" t="s">
        <v>718</v>
      </c>
      <c r="D8251" t="s">
        <v>19</v>
      </c>
      <c r="E8251">
        <v>2018</v>
      </c>
      <c r="F8251" t="s">
        <v>45</v>
      </c>
      <c r="G8251" t="s">
        <v>21</v>
      </c>
      <c r="H8251" t="s">
        <v>15</v>
      </c>
      <c r="I8251" t="s">
        <v>46</v>
      </c>
      <c r="J8251">
        <v>0</v>
      </c>
      <c r="K8251"/>
      <c r="L8251" s="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K8252"/>
      <c r="L8252" s="1">
        <v>264.08839999999998</v>
      </c>
      <c r="M8252">
        <v>4</v>
      </c>
    </row>
    <row r="8253" spans="1:13" x14ac:dyDescent="0.3">
      <c r="A8253" t="s">
        <v>17</v>
      </c>
      <c r="B8253">
        <v>8252</v>
      </c>
      <c r="C8253" t="s">
        <v>1134</v>
      </c>
      <c r="D8253" t="s">
        <v>42</v>
      </c>
      <c r="E8253">
        <v>2018</v>
      </c>
      <c r="F8253" t="s">
        <v>45</v>
      </c>
      <c r="G8253" t="s">
        <v>21</v>
      </c>
      <c r="H8253" t="s">
        <v>15</v>
      </c>
      <c r="I8253" t="s">
        <v>46</v>
      </c>
      <c r="J8253">
        <v>0.102941345</v>
      </c>
      <c r="K8253"/>
      <c r="L8253" s="1">
        <v>171.2448</v>
      </c>
      <c r="M8253">
        <v>4</v>
      </c>
    </row>
    <row r="8254" spans="1:13" x14ac:dyDescent="0.3">
      <c r="A8254" t="s">
        <v>17</v>
      </c>
      <c r="B8254">
        <v>8253</v>
      </c>
      <c r="C8254" t="s">
        <v>75</v>
      </c>
      <c r="D8254" t="s">
        <v>42</v>
      </c>
      <c r="E8254">
        <v>2018</v>
      </c>
      <c r="F8254" t="s">
        <v>45</v>
      </c>
      <c r="G8254" t="s">
        <v>21</v>
      </c>
      <c r="H8254" t="s">
        <v>15</v>
      </c>
      <c r="I8254" t="s">
        <v>46</v>
      </c>
      <c r="J8254">
        <v>8.0249973000000002E-2</v>
      </c>
      <c r="K8254"/>
      <c r="L8254" s="1">
        <v>168.679</v>
      </c>
      <c r="M8254">
        <v>4</v>
      </c>
    </row>
    <row r="8255" spans="1:13" x14ac:dyDescent="0.3">
      <c r="A8255" t="s">
        <v>17</v>
      </c>
      <c r="B8255">
        <v>8254</v>
      </c>
      <c r="C8255" t="s">
        <v>1070</v>
      </c>
      <c r="D8255" t="s">
        <v>42</v>
      </c>
      <c r="E8255">
        <v>2018</v>
      </c>
      <c r="F8255" t="s">
        <v>45</v>
      </c>
      <c r="G8255" t="s">
        <v>21</v>
      </c>
      <c r="H8255" t="s">
        <v>15</v>
      </c>
      <c r="I8255" t="s">
        <v>46</v>
      </c>
      <c r="J8255">
        <v>6.0888513999999998E-2</v>
      </c>
      <c r="K8255"/>
      <c r="L8255" s="1">
        <v>130.1968</v>
      </c>
      <c r="M8255">
        <v>4</v>
      </c>
    </row>
    <row r="8256" spans="1:13" x14ac:dyDescent="0.3">
      <c r="A8256" t="s">
        <v>17</v>
      </c>
      <c r="B8256">
        <v>8255</v>
      </c>
      <c r="C8256" t="s">
        <v>1526</v>
      </c>
      <c r="D8256" t="s">
        <v>54</v>
      </c>
      <c r="E8256">
        <v>2018</v>
      </c>
      <c r="F8256" t="s">
        <v>45</v>
      </c>
      <c r="G8256" t="s">
        <v>21</v>
      </c>
      <c r="H8256" t="s">
        <v>15</v>
      </c>
      <c r="I8256" t="s">
        <v>46</v>
      </c>
      <c r="J8256">
        <v>3.2024658999999997E-2</v>
      </c>
      <c r="K8256"/>
      <c r="L8256" s="1">
        <v>62.7194</v>
      </c>
      <c r="M8256">
        <v>4</v>
      </c>
    </row>
    <row r="8257" spans="1:13" x14ac:dyDescent="0.3">
      <c r="A8257" t="s">
        <v>17</v>
      </c>
      <c r="B8257">
        <v>8256</v>
      </c>
      <c r="C8257" t="s">
        <v>90</v>
      </c>
      <c r="D8257" t="s">
        <v>64</v>
      </c>
      <c r="E8257">
        <v>2018</v>
      </c>
      <c r="F8257" t="s">
        <v>45</v>
      </c>
      <c r="G8257" t="s">
        <v>21</v>
      </c>
      <c r="H8257" t="s">
        <v>15</v>
      </c>
      <c r="I8257" t="s">
        <v>46</v>
      </c>
      <c r="J8257">
        <v>0.18176926400000001</v>
      </c>
      <c r="K8257"/>
      <c r="L8257" s="1">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K8258"/>
      <c r="L8258" s="1">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K8259"/>
      <c r="L8259" s="1">
        <v>125.9046</v>
      </c>
      <c r="M8259">
        <v>4</v>
      </c>
    </row>
    <row r="8260" spans="1:13" x14ac:dyDescent="0.3">
      <c r="A8260" t="s">
        <v>17</v>
      </c>
      <c r="B8260">
        <v>8259</v>
      </c>
      <c r="C8260" t="s">
        <v>920</v>
      </c>
      <c r="D8260" t="s">
        <v>32</v>
      </c>
      <c r="E8260">
        <v>2018</v>
      </c>
      <c r="F8260" t="s">
        <v>45</v>
      </c>
      <c r="G8260" t="s">
        <v>21</v>
      </c>
      <c r="H8260" t="s">
        <v>15</v>
      </c>
      <c r="I8260" t="s">
        <v>46</v>
      </c>
      <c r="J8260">
        <v>9.4916346999999998E-2</v>
      </c>
      <c r="K8260"/>
      <c r="L8260" s="1">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K8261"/>
      <c r="L8261" s="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K8262"/>
      <c r="L8262" s="1">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K8263"/>
      <c r="L8263" s="1">
        <v>234.5616</v>
      </c>
      <c r="M8263">
        <v>4</v>
      </c>
    </row>
    <row r="8264" spans="1:13" x14ac:dyDescent="0.3">
      <c r="A8264" t="s">
        <v>17</v>
      </c>
      <c r="B8264">
        <v>8263</v>
      </c>
      <c r="C8264" t="s">
        <v>681</v>
      </c>
      <c r="D8264" t="s">
        <v>95</v>
      </c>
      <c r="E8264">
        <v>2018</v>
      </c>
      <c r="F8264" t="s">
        <v>45</v>
      </c>
      <c r="G8264" t="s">
        <v>21</v>
      </c>
      <c r="H8264" t="s">
        <v>15</v>
      </c>
      <c r="I8264" t="s">
        <v>46</v>
      </c>
      <c r="J8264">
        <v>7.5707087000000006E-2</v>
      </c>
      <c r="K8264"/>
      <c r="L8264" s="1">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K8265"/>
      <c r="L8265" s="1">
        <v>120.9756</v>
      </c>
      <c r="M8265">
        <v>4</v>
      </c>
    </row>
    <row r="8266" spans="1:13" x14ac:dyDescent="0.3">
      <c r="A8266" t="s">
        <v>17</v>
      </c>
      <c r="B8266">
        <v>8265</v>
      </c>
      <c r="C8266" t="s">
        <v>453</v>
      </c>
      <c r="D8266" t="s">
        <v>95</v>
      </c>
      <c r="E8266">
        <v>2018</v>
      </c>
      <c r="F8266" t="s">
        <v>45</v>
      </c>
      <c r="G8266" t="s">
        <v>21</v>
      </c>
      <c r="H8266" t="s">
        <v>15</v>
      </c>
      <c r="I8266" t="s">
        <v>46</v>
      </c>
      <c r="J8266">
        <v>3.5239270000000003E-2</v>
      </c>
      <c r="K8266"/>
      <c r="L8266" s="1">
        <v>231.601</v>
      </c>
      <c r="M8266">
        <v>4</v>
      </c>
    </row>
    <row r="8267" spans="1:13" x14ac:dyDescent="0.3">
      <c r="A8267" t="s">
        <v>17</v>
      </c>
      <c r="B8267">
        <v>8266</v>
      </c>
      <c r="C8267" t="s">
        <v>283</v>
      </c>
      <c r="D8267" t="s">
        <v>95</v>
      </c>
      <c r="E8267">
        <v>2018</v>
      </c>
      <c r="F8267" t="s">
        <v>45</v>
      </c>
      <c r="G8267" t="s">
        <v>21</v>
      </c>
      <c r="H8267" t="s">
        <v>15</v>
      </c>
      <c r="I8267" t="s">
        <v>46</v>
      </c>
      <c r="J8267">
        <v>0.12978357700000001</v>
      </c>
      <c r="K8267"/>
      <c r="L8267" s="1">
        <v>78.232799999999997</v>
      </c>
      <c r="M8267">
        <v>4</v>
      </c>
    </row>
    <row r="8268" spans="1:13" x14ac:dyDescent="0.3">
      <c r="A8268" t="s">
        <v>17</v>
      </c>
      <c r="B8268">
        <v>8267</v>
      </c>
      <c r="C8268" t="s">
        <v>986</v>
      </c>
      <c r="D8268" t="s">
        <v>95</v>
      </c>
      <c r="E8268">
        <v>2018</v>
      </c>
      <c r="F8268" t="s">
        <v>45</v>
      </c>
      <c r="G8268" t="s">
        <v>21</v>
      </c>
      <c r="H8268" t="s">
        <v>15</v>
      </c>
      <c r="I8268" t="s">
        <v>46</v>
      </c>
      <c r="J8268">
        <v>0</v>
      </c>
      <c r="K8268"/>
      <c r="L8268" s="1">
        <v>100.1384</v>
      </c>
      <c r="M8268">
        <v>4</v>
      </c>
    </row>
    <row r="8269" spans="1:13" x14ac:dyDescent="0.3">
      <c r="A8269" t="s">
        <v>17</v>
      </c>
      <c r="B8269">
        <v>8268</v>
      </c>
      <c r="C8269" t="s">
        <v>1471</v>
      </c>
      <c r="D8269" t="s">
        <v>95</v>
      </c>
      <c r="E8269">
        <v>2018</v>
      </c>
      <c r="F8269" t="s">
        <v>45</v>
      </c>
      <c r="G8269" t="s">
        <v>21</v>
      </c>
      <c r="H8269" t="s">
        <v>15</v>
      </c>
      <c r="I8269" t="s">
        <v>46</v>
      </c>
      <c r="J8269">
        <v>9.3649570000000001E-3</v>
      </c>
      <c r="K8269"/>
      <c r="L8269" s="1">
        <v>74.238</v>
      </c>
      <c r="M8269">
        <v>4</v>
      </c>
    </row>
    <row r="8270" spans="1:13" x14ac:dyDescent="0.3">
      <c r="A8270" t="s">
        <v>17</v>
      </c>
      <c r="B8270">
        <v>8269</v>
      </c>
      <c r="C8270" t="s">
        <v>613</v>
      </c>
      <c r="D8270" t="s">
        <v>57</v>
      </c>
      <c r="E8270">
        <v>2018</v>
      </c>
      <c r="F8270" t="s">
        <v>45</v>
      </c>
      <c r="G8270" t="s">
        <v>21</v>
      </c>
      <c r="H8270" t="s">
        <v>15</v>
      </c>
      <c r="I8270" t="s">
        <v>46</v>
      </c>
      <c r="J8270">
        <v>8.7045085999999994E-2</v>
      </c>
      <c r="K8270"/>
      <c r="L8270" s="1">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K8271"/>
      <c r="L8271" s="1">
        <v>228.5668</v>
      </c>
      <c r="M8271">
        <v>4</v>
      </c>
    </row>
    <row r="8272" spans="1:13" x14ac:dyDescent="0.3">
      <c r="A8272" t="s">
        <v>17</v>
      </c>
      <c r="B8272">
        <v>8271</v>
      </c>
      <c r="C8272" t="s">
        <v>1364</v>
      </c>
      <c r="D8272" t="s">
        <v>57</v>
      </c>
      <c r="E8272">
        <v>2018</v>
      </c>
      <c r="F8272" t="s">
        <v>45</v>
      </c>
      <c r="G8272" t="s">
        <v>21</v>
      </c>
      <c r="H8272" t="s">
        <v>15</v>
      </c>
      <c r="I8272" t="s">
        <v>46</v>
      </c>
      <c r="J8272">
        <v>4.8545853E-2</v>
      </c>
      <c r="K8272"/>
      <c r="L8272" s="1">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K8273"/>
      <c r="L8273" s="1">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K8274"/>
      <c r="L8274" s="1">
        <v>87.419799999999995</v>
      </c>
      <c r="M8274">
        <v>4</v>
      </c>
    </row>
    <row r="8275" spans="1:13" x14ac:dyDescent="0.3">
      <c r="A8275" t="s">
        <v>17</v>
      </c>
      <c r="B8275">
        <v>8274</v>
      </c>
      <c r="C8275" t="s">
        <v>1285</v>
      </c>
      <c r="D8275" t="s">
        <v>28</v>
      </c>
      <c r="E8275">
        <v>2018</v>
      </c>
      <c r="F8275" t="s">
        <v>45</v>
      </c>
      <c r="G8275" t="s">
        <v>21</v>
      </c>
      <c r="H8275" t="s">
        <v>15</v>
      </c>
      <c r="I8275" t="s">
        <v>46</v>
      </c>
      <c r="J8275">
        <v>0.120663214</v>
      </c>
      <c r="K8275"/>
      <c r="L8275" s="1">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K8276"/>
      <c r="L8276" s="1">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K8277"/>
      <c r="L8277" s="1">
        <v>155.2972</v>
      </c>
      <c r="M8277">
        <v>4</v>
      </c>
    </row>
    <row r="8278" spans="1:13" x14ac:dyDescent="0.3">
      <c r="A8278" t="s">
        <v>17</v>
      </c>
      <c r="B8278">
        <v>8277</v>
      </c>
      <c r="C8278" t="s">
        <v>926</v>
      </c>
      <c r="D8278" t="s">
        <v>28</v>
      </c>
      <c r="E8278">
        <v>2018</v>
      </c>
      <c r="F8278" t="s">
        <v>45</v>
      </c>
      <c r="G8278" t="s">
        <v>21</v>
      </c>
      <c r="H8278" t="s">
        <v>15</v>
      </c>
      <c r="I8278" t="s">
        <v>46</v>
      </c>
      <c r="J8278">
        <v>0.12683185399999999</v>
      </c>
      <c r="K8278"/>
      <c r="L8278" s="1">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K8279"/>
      <c r="L8279" s="1">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K8280"/>
      <c r="L8280" s="1">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K8281"/>
      <c r="L8281" s="1">
        <v>86.822400000000002</v>
      </c>
      <c r="M8281">
        <v>4</v>
      </c>
    </row>
    <row r="8282" spans="1:13" x14ac:dyDescent="0.3">
      <c r="A8282" t="s">
        <v>17</v>
      </c>
      <c r="B8282">
        <v>8281</v>
      </c>
      <c r="C8282" t="s">
        <v>202</v>
      </c>
      <c r="D8282" t="s">
        <v>28</v>
      </c>
      <c r="E8282">
        <v>2018</v>
      </c>
      <c r="F8282" t="s">
        <v>45</v>
      </c>
      <c r="G8282" t="s">
        <v>21</v>
      </c>
      <c r="H8282" t="s">
        <v>15</v>
      </c>
      <c r="I8282" t="s">
        <v>46</v>
      </c>
      <c r="J8282">
        <v>0.123449671</v>
      </c>
      <c r="K8282"/>
      <c r="L8282" s="1">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K8283"/>
      <c r="L8283" s="1">
        <v>115.515</v>
      </c>
      <c r="M8283">
        <v>4</v>
      </c>
    </row>
    <row r="8284" spans="1:13" x14ac:dyDescent="0.3">
      <c r="A8284" t="s">
        <v>17</v>
      </c>
      <c r="B8284">
        <v>8283</v>
      </c>
      <c r="C8284" t="s">
        <v>875</v>
      </c>
      <c r="D8284" t="s">
        <v>28</v>
      </c>
      <c r="E8284">
        <v>2018</v>
      </c>
      <c r="F8284" t="s">
        <v>45</v>
      </c>
      <c r="G8284" t="s">
        <v>21</v>
      </c>
      <c r="H8284" t="s">
        <v>15</v>
      </c>
      <c r="I8284" t="s">
        <v>46</v>
      </c>
      <c r="J8284">
        <v>6.2724116999999996E-2</v>
      </c>
      <c r="K8284"/>
      <c r="L8284" s="1">
        <v>100.57</v>
      </c>
      <c r="M8284">
        <v>4</v>
      </c>
    </row>
    <row r="8285" spans="1:13" x14ac:dyDescent="0.3">
      <c r="A8285" t="s">
        <v>17</v>
      </c>
      <c r="B8285">
        <v>8284</v>
      </c>
      <c r="C8285" t="s">
        <v>371</v>
      </c>
      <c r="D8285" t="s">
        <v>67</v>
      </c>
      <c r="E8285">
        <v>2018</v>
      </c>
      <c r="F8285" t="s">
        <v>45</v>
      </c>
      <c r="G8285" t="s">
        <v>21</v>
      </c>
      <c r="H8285" t="s">
        <v>15</v>
      </c>
      <c r="I8285" t="s">
        <v>46</v>
      </c>
      <c r="J8285">
        <v>4.5088723999999997E-2</v>
      </c>
      <c r="K8285"/>
      <c r="L8285" s="1">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K8286"/>
      <c r="L8286" s="1">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K8287"/>
      <c r="L8287" s="1">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K8288"/>
      <c r="L8288" s="1">
        <v>249.50919999999999</v>
      </c>
      <c r="M8288">
        <v>4</v>
      </c>
    </row>
    <row r="8289" spans="1:13" x14ac:dyDescent="0.3">
      <c r="A8289" t="s">
        <v>17</v>
      </c>
      <c r="B8289">
        <v>8288</v>
      </c>
      <c r="C8289" t="s">
        <v>1517</v>
      </c>
      <c r="D8289" t="s">
        <v>67</v>
      </c>
      <c r="E8289">
        <v>2018</v>
      </c>
      <c r="F8289" t="s">
        <v>45</v>
      </c>
      <c r="G8289" t="s">
        <v>21</v>
      </c>
      <c r="H8289" t="s">
        <v>15</v>
      </c>
      <c r="I8289" t="s">
        <v>46</v>
      </c>
      <c r="J8289">
        <v>5.3211728E-2</v>
      </c>
      <c r="K8289"/>
      <c r="L8289" s="1">
        <v>177.6002</v>
      </c>
      <c r="M8289">
        <v>4</v>
      </c>
    </row>
    <row r="8290" spans="1:13" x14ac:dyDescent="0.3">
      <c r="A8290" t="s">
        <v>17</v>
      </c>
      <c r="B8290">
        <v>8289</v>
      </c>
      <c r="C8290" t="s">
        <v>535</v>
      </c>
      <c r="D8290" t="s">
        <v>67</v>
      </c>
      <c r="E8290">
        <v>2018</v>
      </c>
      <c r="F8290" t="s">
        <v>45</v>
      </c>
      <c r="G8290" t="s">
        <v>21</v>
      </c>
      <c r="H8290" t="s">
        <v>15</v>
      </c>
      <c r="I8290" t="s">
        <v>46</v>
      </c>
      <c r="J8290">
        <v>0.101281</v>
      </c>
      <c r="K8290"/>
      <c r="L8290" s="1">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K8291"/>
      <c r="L8291" s="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K8292"/>
      <c r="L8292" s="1">
        <v>109.5228</v>
      </c>
      <c r="M8292">
        <v>4</v>
      </c>
    </row>
    <row r="8293" spans="1:13" x14ac:dyDescent="0.3">
      <c r="A8293" t="s">
        <v>17</v>
      </c>
      <c r="B8293">
        <v>8292</v>
      </c>
      <c r="C8293" t="s">
        <v>505</v>
      </c>
      <c r="D8293" t="s">
        <v>67</v>
      </c>
      <c r="E8293">
        <v>2018</v>
      </c>
      <c r="F8293" t="s">
        <v>45</v>
      </c>
      <c r="G8293" t="s">
        <v>21</v>
      </c>
      <c r="H8293" t="s">
        <v>15</v>
      </c>
      <c r="I8293" t="s">
        <v>46</v>
      </c>
      <c r="J8293">
        <v>3.1743707000000003E-2</v>
      </c>
      <c r="K8293"/>
      <c r="L8293" s="1">
        <v>179.1344</v>
      </c>
      <c r="M8293">
        <v>4</v>
      </c>
    </row>
    <row r="8294" spans="1:13" x14ac:dyDescent="0.3">
      <c r="A8294" t="s">
        <v>17</v>
      </c>
      <c r="B8294">
        <v>8293</v>
      </c>
      <c r="C8294" t="s">
        <v>777</v>
      </c>
      <c r="D8294" t="s">
        <v>67</v>
      </c>
      <c r="E8294">
        <v>2018</v>
      </c>
      <c r="F8294" t="s">
        <v>45</v>
      </c>
      <c r="G8294" t="s">
        <v>21</v>
      </c>
      <c r="H8294" t="s">
        <v>15</v>
      </c>
      <c r="I8294" t="s">
        <v>46</v>
      </c>
      <c r="J8294">
        <v>2.0769677E-2</v>
      </c>
      <c r="K8294"/>
      <c r="L8294" s="1">
        <v>117.5782</v>
      </c>
      <c r="M8294">
        <v>4</v>
      </c>
    </row>
    <row r="8295" spans="1:13" x14ac:dyDescent="0.3">
      <c r="A8295" t="s">
        <v>17</v>
      </c>
      <c r="B8295">
        <v>8294</v>
      </c>
      <c r="C8295" t="s">
        <v>1018</v>
      </c>
      <c r="D8295" t="s">
        <v>24</v>
      </c>
      <c r="E8295">
        <v>2018</v>
      </c>
      <c r="F8295" t="s">
        <v>45</v>
      </c>
      <c r="G8295" t="s">
        <v>21</v>
      </c>
      <c r="H8295" t="s">
        <v>15</v>
      </c>
      <c r="I8295" t="s">
        <v>46</v>
      </c>
      <c r="J8295">
        <v>5.4720642E-2</v>
      </c>
      <c r="K8295"/>
      <c r="L8295" s="1">
        <v>107.8254</v>
      </c>
      <c r="M8295">
        <v>4</v>
      </c>
    </row>
    <row r="8296" spans="1:13" x14ac:dyDescent="0.3">
      <c r="A8296" t="s">
        <v>17</v>
      </c>
      <c r="B8296">
        <v>8295</v>
      </c>
      <c r="C8296" t="s">
        <v>728</v>
      </c>
      <c r="D8296" t="s">
        <v>24</v>
      </c>
      <c r="E8296">
        <v>2018</v>
      </c>
      <c r="F8296" t="s">
        <v>45</v>
      </c>
      <c r="G8296" t="s">
        <v>21</v>
      </c>
      <c r="H8296" t="s">
        <v>15</v>
      </c>
      <c r="I8296" t="s">
        <v>46</v>
      </c>
      <c r="J8296">
        <v>0.116347087</v>
      </c>
      <c r="K8296"/>
      <c r="L8296" s="1">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K8297"/>
      <c r="L8297" s="1">
        <v>43.745399999999997</v>
      </c>
      <c r="M8297">
        <v>4</v>
      </c>
    </row>
    <row r="8298" spans="1:13" x14ac:dyDescent="0.3">
      <c r="A8298" t="s">
        <v>17</v>
      </c>
      <c r="B8298">
        <v>8297</v>
      </c>
      <c r="C8298" t="s">
        <v>781</v>
      </c>
      <c r="D8298" t="s">
        <v>24</v>
      </c>
      <c r="E8298">
        <v>2018</v>
      </c>
      <c r="F8298" t="s">
        <v>45</v>
      </c>
      <c r="G8298" t="s">
        <v>21</v>
      </c>
      <c r="H8298" t="s">
        <v>15</v>
      </c>
      <c r="I8298" t="s">
        <v>46</v>
      </c>
      <c r="J8298">
        <v>2.6216144E-2</v>
      </c>
      <c r="K8298"/>
      <c r="L8298" s="1">
        <v>207.59540000000001</v>
      </c>
      <c r="M8298">
        <v>4</v>
      </c>
    </row>
    <row r="8299" spans="1:13" x14ac:dyDescent="0.3">
      <c r="A8299" t="s">
        <v>17</v>
      </c>
      <c r="B8299">
        <v>8298</v>
      </c>
      <c r="C8299" t="s">
        <v>908</v>
      </c>
      <c r="D8299" t="s">
        <v>24</v>
      </c>
      <c r="E8299">
        <v>2018</v>
      </c>
      <c r="F8299" t="s">
        <v>45</v>
      </c>
      <c r="G8299" t="s">
        <v>21</v>
      </c>
      <c r="H8299" t="s">
        <v>15</v>
      </c>
      <c r="I8299" t="s">
        <v>46</v>
      </c>
      <c r="J8299">
        <v>0.142436015</v>
      </c>
      <c r="K8299"/>
      <c r="L8299" s="1">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K8300"/>
      <c r="L8300" s="1">
        <v>261.291</v>
      </c>
      <c r="M8300">
        <v>4</v>
      </c>
    </row>
    <row r="8301" spans="1:13" x14ac:dyDescent="0.3">
      <c r="A8301" t="s">
        <v>17</v>
      </c>
      <c r="B8301">
        <v>8300</v>
      </c>
      <c r="C8301" t="s">
        <v>1575</v>
      </c>
      <c r="D8301" t="s">
        <v>24</v>
      </c>
      <c r="E8301">
        <v>2018</v>
      </c>
      <c r="F8301" t="s">
        <v>45</v>
      </c>
      <c r="G8301" t="s">
        <v>21</v>
      </c>
      <c r="H8301" t="s">
        <v>15</v>
      </c>
      <c r="I8301" t="s">
        <v>46</v>
      </c>
      <c r="J8301">
        <v>0.130544568</v>
      </c>
      <c r="K8301"/>
      <c r="L8301" s="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K8302"/>
      <c r="L8302" s="1">
        <v>31.9558</v>
      </c>
      <c r="M8302">
        <v>4</v>
      </c>
    </row>
    <row r="8303" spans="1:13" x14ac:dyDescent="0.3">
      <c r="A8303" t="s">
        <v>17</v>
      </c>
      <c r="B8303">
        <v>8302</v>
      </c>
      <c r="C8303" t="s">
        <v>229</v>
      </c>
      <c r="D8303" t="s">
        <v>24</v>
      </c>
      <c r="E8303">
        <v>2018</v>
      </c>
      <c r="F8303" t="s">
        <v>45</v>
      </c>
      <c r="G8303" t="s">
        <v>21</v>
      </c>
      <c r="H8303" t="s">
        <v>15</v>
      </c>
      <c r="I8303" t="s">
        <v>46</v>
      </c>
      <c r="J8303">
        <v>0</v>
      </c>
      <c r="K8303"/>
      <c r="L8303" s="1">
        <v>190.9162</v>
      </c>
      <c r="M8303">
        <v>4</v>
      </c>
    </row>
    <row r="8304" spans="1:13" x14ac:dyDescent="0.3">
      <c r="A8304" t="s">
        <v>17</v>
      </c>
      <c r="B8304">
        <v>8303</v>
      </c>
      <c r="C8304" t="s">
        <v>536</v>
      </c>
      <c r="D8304" t="s">
        <v>24</v>
      </c>
      <c r="E8304">
        <v>2018</v>
      </c>
      <c r="F8304" t="s">
        <v>45</v>
      </c>
      <c r="G8304" t="s">
        <v>21</v>
      </c>
      <c r="H8304" t="s">
        <v>15</v>
      </c>
      <c r="I8304" t="s">
        <v>46</v>
      </c>
      <c r="J8304">
        <v>7.0912843000000003E-2</v>
      </c>
      <c r="K8304"/>
      <c r="L8304" s="1">
        <v>121.5098</v>
      </c>
      <c r="M8304">
        <v>4</v>
      </c>
    </row>
    <row r="8305" spans="1:13" x14ac:dyDescent="0.3">
      <c r="A8305" t="s">
        <v>17</v>
      </c>
      <c r="B8305">
        <v>8304</v>
      </c>
      <c r="C8305" t="s">
        <v>527</v>
      </c>
      <c r="D8305" t="s">
        <v>24</v>
      </c>
      <c r="E8305">
        <v>2018</v>
      </c>
      <c r="F8305" t="s">
        <v>45</v>
      </c>
      <c r="G8305" t="s">
        <v>21</v>
      </c>
      <c r="H8305" t="s">
        <v>15</v>
      </c>
      <c r="I8305" t="s">
        <v>46</v>
      </c>
      <c r="J8305">
        <v>5.2058711000000001E-2</v>
      </c>
      <c r="K8305"/>
      <c r="L8305" s="1">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K8306"/>
      <c r="L8306" s="1">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K8307"/>
      <c r="L8307" s="1">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K8308"/>
      <c r="L8308" s="1">
        <v>94.741</v>
      </c>
      <c r="M8308">
        <v>4</v>
      </c>
    </row>
    <row r="8309" spans="1:13" x14ac:dyDescent="0.3">
      <c r="A8309" t="s">
        <v>17</v>
      </c>
      <c r="B8309">
        <v>8308</v>
      </c>
      <c r="C8309" t="s">
        <v>969</v>
      </c>
      <c r="D8309" t="s">
        <v>24</v>
      </c>
      <c r="E8309">
        <v>2018</v>
      </c>
      <c r="F8309" t="s">
        <v>45</v>
      </c>
      <c r="G8309" t="s">
        <v>21</v>
      </c>
      <c r="H8309" t="s">
        <v>15</v>
      </c>
      <c r="I8309" t="s">
        <v>46</v>
      </c>
      <c r="J8309">
        <v>7.1948252000000004E-2</v>
      </c>
      <c r="K8309"/>
      <c r="L8309" s="1">
        <v>121.60980000000001</v>
      </c>
      <c r="M8309">
        <v>4</v>
      </c>
    </row>
    <row r="8310" spans="1:13" x14ac:dyDescent="0.3">
      <c r="A8310" t="s">
        <v>17</v>
      </c>
      <c r="B8310">
        <v>8309</v>
      </c>
      <c r="C8310" t="s">
        <v>101</v>
      </c>
      <c r="D8310" t="s">
        <v>24</v>
      </c>
      <c r="E8310">
        <v>2018</v>
      </c>
      <c r="F8310" t="s">
        <v>45</v>
      </c>
      <c r="G8310" t="s">
        <v>21</v>
      </c>
      <c r="H8310" t="s">
        <v>15</v>
      </c>
      <c r="I8310" t="s">
        <v>46</v>
      </c>
      <c r="J8310">
        <v>1.3745883E-2</v>
      </c>
      <c r="K8310"/>
      <c r="L8310" s="1">
        <v>62.016800000000003</v>
      </c>
      <c r="M8310">
        <v>4</v>
      </c>
    </row>
    <row r="8311" spans="1:13" x14ac:dyDescent="0.3">
      <c r="A8311" t="s">
        <v>17</v>
      </c>
      <c r="B8311">
        <v>8310</v>
      </c>
      <c r="C8311" t="s">
        <v>738</v>
      </c>
      <c r="D8311" t="s">
        <v>24</v>
      </c>
      <c r="E8311">
        <v>2018</v>
      </c>
      <c r="F8311" t="s">
        <v>45</v>
      </c>
      <c r="G8311" t="s">
        <v>21</v>
      </c>
      <c r="H8311" t="s">
        <v>15</v>
      </c>
      <c r="I8311" t="s">
        <v>46</v>
      </c>
      <c r="J8311">
        <v>0.118806857</v>
      </c>
      <c r="K8311"/>
      <c r="L8311" s="1">
        <v>248.8434</v>
      </c>
      <c r="M8311">
        <v>4</v>
      </c>
    </row>
    <row r="8312" spans="1:13" x14ac:dyDescent="0.3">
      <c r="A8312" t="s">
        <v>17</v>
      </c>
      <c r="B8312">
        <v>8311</v>
      </c>
      <c r="C8312" t="s">
        <v>1278</v>
      </c>
      <c r="D8312" t="s">
        <v>24</v>
      </c>
      <c r="E8312">
        <v>2018</v>
      </c>
      <c r="F8312" t="s">
        <v>45</v>
      </c>
      <c r="G8312" t="s">
        <v>21</v>
      </c>
      <c r="H8312" t="s">
        <v>15</v>
      </c>
      <c r="I8312" t="s">
        <v>46</v>
      </c>
      <c r="J8312">
        <v>1.3951504E-2</v>
      </c>
      <c r="K8312"/>
      <c r="L8312" s="1">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K8313"/>
      <c r="L8313" s="1">
        <v>102.1016</v>
      </c>
      <c r="M8313">
        <v>4</v>
      </c>
    </row>
    <row r="8314" spans="1:13" x14ac:dyDescent="0.3">
      <c r="A8314" t="s">
        <v>17</v>
      </c>
      <c r="B8314">
        <v>8313</v>
      </c>
      <c r="C8314" t="s">
        <v>1229</v>
      </c>
      <c r="D8314" t="s">
        <v>12</v>
      </c>
      <c r="E8314">
        <v>2018</v>
      </c>
      <c r="F8314" t="s">
        <v>45</v>
      </c>
      <c r="G8314" t="s">
        <v>21</v>
      </c>
      <c r="H8314" t="s">
        <v>15</v>
      </c>
      <c r="I8314" t="s">
        <v>46</v>
      </c>
      <c r="J8314">
        <v>6.4362554000000002E-2</v>
      </c>
      <c r="K8314"/>
      <c r="L8314" s="1">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K8315"/>
      <c r="L8315" s="1">
        <v>57.792999999999999</v>
      </c>
      <c r="M8315">
        <v>4</v>
      </c>
    </row>
    <row r="8316" spans="1:13" x14ac:dyDescent="0.3">
      <c r="A8316" t="s">
        <v>17</v>
      </c>
      <c r="B8316">
        <v>8315</v>
      </c>
      <c r="C8316" t="s">
        <v>1168</v>
      </c>
      <c r="D8316" t="s">
        <v>12</v>
      </c>
      <c r="E8316">
        <v>2018</v>
      </c>
      <c r="F8316" t="s">
        <v>45</v>
      </c>
      <c r="G8316" t="s">
        <v>21</v>
      </c>
      <c r="H8316" t="s">
        <v>15</v>
      </c>
      <c r="I8316" t="s">
        <v>46</v>
      </c>
      <c r="J8316">
        <v>0</v>
      </c>
      <c r="K8316"/>
      <c r="L8316" s="1">
        <v>242.9854</v>
      </c>
      <c r="M8316">
        <v>4</v>
      </c>
    </row>
    <row r="8317" spans="1:13" x14ac:dyDescent="0.3">
      <c r="A8317" t="s">
        <v>17</v>
      </c>
      <c r="B8317">
        <v>8316</v>
      </c>
      <c r="C8317" t="s">
        <v>560</v>
      </c>
      <c r="D8317" t="s">
        <v>12</v>
      </c>
      <c r="E8317">
        <v>2018</v>
      </c>
      <c r="F8317" t="s">
        <v>45</v>
      </c>
      <c r="G8317" t="s">
        <v>21</v>
      </c>
      <c r="H8317" t="s">
        <v>15</v>
      </c>
      <c r="I8317" t="s">
        <v>46</v>
      </c>
      <c r="J8317">
        <v>0.13507592400000001</v>
      </c>
      <c r="K8317"/>
      <c r="L8317" s="1">
        <v>170.31059999999999</v>
      </c>
      <c r="M8317">
        <v>4</v>
      </c>
    </row>
    <row r="8318" spans="1:13" x14ac:dyDescent="0.3">
      <c r="A8318" t="s">
        <v>17</v>
      </c>
      <c r="B8318">
        <v>8317</v>
      </c>
      <c r="C8318" t="s">
        <v>1169</v>
      </c>
      <c r="D8318" t="s">
        <v>12</v>
      </c>
      <c r="E8318">
        <v>2018</v>
      </c>
      <c r="F8318" t="s">
        <v>45</v>
      </c>
      <c r="G8318" t="s">
        <v>21</v>
      </c>
      <c r="H8318" t="s">
        <v>15</v>
      </c>
      <c r="I8318" t="s">
        <v>46</v>
      </c>
      <c r="J8318">
        <v>2.1392306E-2</v>
      </c>
      <c r="K8318"/>
      <c r="L8318" s="1">
        <v>182.0976</v>
      </c>
      <c r="M8318">
        <v>4</v>
      </c>
    </row>
    <row r="8319" spans="1:13" x14ac:dyDescent="0.3">
      <c r="A8319" t="s">
        <v>17</v>
      </c>
      <c r="B8319">
        <v>8318</v>
      </c>
      <c r="C8319" t="s">
        <v>1447</v>
      </c>
      <c r="D8319" t="s">
        <v>12</v>
      </c>
      <c r="E8319">
        <v>2018</v>
      </c>
      <c r="F8319" t="s">
        <v>45</v>
      </c>
      <c r="G8319" t="s">
        <v>21</v>
      </c>
      <c r="H8319" t="s">
        <v>15</v>
      </c>
      <c r="I8319" t="s">
        <v>46</v>
      </c>
      <c r="J8319">
        <v>0</v>
      </c>
      <c r="K8319"/>
      <c r="L8319" s="1">
        <v>115.3492</v>
      </c>
      <c r="M8319">
        <v>4</v>
      </c>
    </row>
    <row r="8320" spans="1:13" x14ac:dyDescent="0.3">
      <c r="A8320" t="s">
        <v>17</v>
      </c>
      <c r="B8320">
        <v>8319</v>
      </c>
      <c r="C8320" t="s">
        <v>447</v>
      </c>
      <c r="D8320" t="s">
        <v>12</v>
      </c>
      <c r="E8320">
        <v>2018</v>
      </c>
      <c r="F8320" t="s">
        <v>45</v>
      </c>
      <c r="G8320" t="s">
        <v>21</v>
      </c>
      <c r="H8320" t="s">
        <v>15</v>
      </c>
      <c r="I8320" t="s">
        <v>46</v>
      </c>
      <c r="J8320">
        <v>3.3059299E-2</v>
      </c>
      <c r="K8320"/>
      <c r="L8320" s="1">
        <v>196.4768</v>
      </c>
      <c r="M8320">
        <v>4</v>
      </c>
    </row>
    <row r="8321" spans="1:13" x14ac:dyDescent="0.3">
      <c r="A8321" t="s">
        <v>17</v>
      </c>
      <c r="B8321">
        <v>8320</v>
      </c>
      <c r="C8321" t="s">
        <v>1423</v>
      </c>
      <c r="D8321" t="s">
        <v>12</v>
      </c>
      <c r="E8321">
        <v>2018</v>
      </c>
      <c r="F8321" t="s">
        <v>45</v>
      </c>
      <c r="G8321" t="s">
        <v>21</v>
      </c>
      <c r="H8321" t="s">
        <v>15</v>
      </c>
      <c r="I8321" t="s">
        <v>46</v>
      </c>
      <c r="J8321">
        <v>3.5574412999999999E-2</v>
      </c>
      <c r="K8321"/>
      <c r="L8321" s="1">
        <v>131.42840000000001</v>
      </c>
      <c r="M8321">
        <v>4</v>
      </c>
    </row>
    <row r="8322" spans="1:13" x14ac:dyDescent="0.3">
      <c r="A8322" t="s">
        <v>17</v>
      </c>
      <c r="B8322">
        <v>8321</v>
      </c>
      <c r="C8322" t="s">
        <v>1238</v>
      </c>
      <c r="D8322" t="s">
        <v>12</v>
      </c>
      <c r="E8322">
        <v>2018</v>
      </c>
      <c r="F8322" t="s">
        <v>45</v>
      </c>
      <c r="G8322" t="s">
        <v>21</v>
      </c>
      <c r="H8322" t="s">
        <v>15</v>
      </c>
      <c r="I8322" t="s">
        <v>46</v>
      </c>
      <c r="J8322">
        <v>0.173529036</v>
      </c>
      <c r="K8322"/>
      <c r="L8322" s="1">
        <v>113.2834</v>
      </c>
      <c r="M8322">
        <v>4</v>
      </c>
    </row>
    <row r="8323" spans="1:13" x14ac:dyDescent="0.3">
      <c r="A8323" t="s">
        <v>17</v>
      </c>
      <c r="B8323">
        <v>8322</v>
      </c>
      <c r="C8323" t="s">
        <v>1287</v>
      </c>
      <c r="D8323" t="s">
        <v>12</v>
      </c>
      <c r="E8323">
        <v>2018</v>
      </c>
      <c r="F8323" t="s">
        <v>45</v>
      </c>
      <c r="G8323" t="s">
        <v>21</v>
      </c>
      <c r="H8323" t="s">
        <v>15</v>
      </c>
      <c r="I8323" t="s">
        <v>46</v>
      </c>
      <c r="J8323">
        <v>9.9747487999999995E-2</v>
      </c>
      <c r="K8323"/>
      <c r="L8323" s="1">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K8324"/>
      <c r="L8324" s="1">
        <v>91.014600000000002</v>
      </c>
      <c r="M8324">
        <v>4</v>
      </c>
    </row>
    <row r="8325" spans="1:13" x14ac:dyDescent="0.3">
      <c r="A8325" t="s">
        <v>17</v>
      </c>
      <c r="B8325">
        <v>8324</v>
      </c>
      <c r="C8325" t="s">
        <v>622</v>
      </c>
      <c r="D8325" t="s">
        <v>12</v>
      </c>
      <c r="E8325">
        <v>2018</v>
      </c>
      <c r="F8325" t="s">
        <v>45</v>
      </c>
      <c r="G8325" t="s">
        <v>21</v>
      </c>
      <c r="H8325" t="s">
        <v>15</v>
      </c>
      <c r="I8325" t="s">
        <v>46</v>
      </c>
      <c r="J8325">
        <v>0.121635591</v>
      </c>
      <c r="K8325"/>
      <c r="L8325" s="1">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K8326"/>
      <c r="L8326" s="1">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K8327"/>
      <c r="L8327" s="1">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K8328"/>
      <c r="L8328" s="1">
        <v>146.4734</v>
      </c>
      <c r="M8328">
        <v>4</v>
      </c>
    </row>
    <row r="8329" spans="1:13" x14ac:dyDescent="0.3">
      <c r="A8329" t="s">
        <v>17</v>
      </c>
      <c r="B8329">
        <v>8328</v>
      </c>
      <c r="C8329" t="s">
        <v>929</v>
      </c>
      <c r="D8329" t="s">
        <v>12</v>
      </c>
      <c r="E8329">
        <v>2018</v>
      </c>
      <c r="F8329" t="s">
        <v>45</v>
      </c>
      <c r="G8329" t="s">
        <v>21</v>
      </c>
      <c r="H8329" t="s">
        <v>15</v>
      </c>
      <c r="I8329" t="s">
        <v>46</v>
      </c>
      <c r="J8329">
        <v>3.5737373000000003E-2</v>
      </c>
      <c r="K8329"/>
      <c r="L8329" s="1">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K8330"/>
      <c r="L8330" s="1">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K8331"/>
      <c r="L8331" s="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K8332"/>
      <c r="L8332" s="1">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K8333"/>
      <c r="L8333" s="1">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K8334"/>
      <c r="L8334" s="1">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K8335"/>
      <c r="L8335" s="1">
        <v>158.792</v>
      </c>
      <c r="M8335">
        <v>4</v>
      </c>
    </row>
    <row r="8336" spans="1:13" x14ac:dyDescent="0.3">
      <c r="A8336" t="s">
        <v>17</v>
      </c>
      <c r="B8336">
        <v>8335</v>
      </c>
      <c r="C8336" t="s">
        <v>1506</v>
      </c>
      <c r="D8336" t="s">
        <v>61</v>
      </c>
      <c r="E8336">
        <v>2018</v>
      </c>
      <c r="F8336" t="s">
        <v>45</v>
      </c>
      <c r="G8336" t="s">
        <v>21</v>
      </c>
      <c r="H8336" t="s">
        <v>15</v>
      </c>
      <c r="I8336" t="s">
        <v>46</v>
      </c>
      <c r="J8336">
        <v>7.5192071999999999E-2</v>
      </c>
      <c r="K8336"/>
      <c r="L8336" s="1">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K8337"/>
      <c r="L8337" s="1">
        <v>224.6088</v>
      </c>
      <c r="M8337">
        <v>4</v>
      </c>
    </row>
    <row r="8338" spans="1:13" x14ac:dyDescent="0.3">
      <c r="A8338" t="s">
        <v>17</v>
      </c>
      <c r="B8338">
        <v>8337</v>
      </c>
      <c r="C8338" t="s">
        <v>717</v>
      </c>
      <c r="D8338" t="s">
        <v>61</v>
      </c>
      <c r="E8338">
        <v>2018</v>
      </c>
      <c r="F8338" t="s">
        <v>45</v>
      </c>
      <c r="G8338" t="s">
        <v>21</v>
      </c>
      <c r="H8338" t="s">
        <v>15</v>
      </c>
      <c r="I8338" t="s">
        <v>46</v>
      </c>
      <c r="J8338">
        <v>7.1498574999999995E-2</v>
      </c>
      <c r="K8338"/>
      <c r="L8338" s="1">
        <v>37.750599999999999</v>
      </c>
      <c r="M8338">
        <v>4</v>
      </c>
    </row>
    <row r="8339" spans="1:13" x14ac:dyDescent="0.3">
      <c r="A8339" t="s">
        <v>17</v>
      </c>
      <c r="B8339">
        <v>8338</v>
      </c>
      <c r="C8339" t="s">
        <v>497</v>
      </c>
      <c r="D8339" t="s">
        <v>19</v>
      </c>
      <c r="E8339">
        <v>2018</v>
      </c>
      <c r="F8339" t="s">
        <v>45</v>
      </c>
      <c r="G8339" t="s">
        <v>21</v>
      </c>
      <c r="H8339" t="s">
        <v>15</v>
      </c>
      <c r="I8339" t="s">
        <v>46</v>
      </c>
      <c r="J8339">
        <v>0</v>
      </c>
      <c r="K8339"/>
      <c r="L8339" s="1">
        <v>37.3506</v>
      </c>
      <c r="M8339">
        <v>4</v>
      </c>
    </row>
    <row r="8340" spans="1:13" x14ac:dyDescent="0.3">
      <c r="A8340" t="s">
        <v>17</v>
      </c>
      <c r="B8340">
        <v>8339</v>
      </c>
      <c r="C8340" t="s">
        <v>992</v>
      </c>
      <c r="D8340" t="s">
        <v>19</v>
      </c>
      <c r="E8340">
        <v>2018</v>
      </c>
      <c r="F8340" t="s">
        <v>45</v>
      </c>
      <c r="G8340" t="s">
        <v>21</v>
      </c>
      <c r="H8340" t="s">
        <v>15</v>
      </c>
      <c r="I8340" t="s">
        <v>46</v>
      </c>
      <c r="J8340">
        <v>0</v>
      </c>
      <c r="K8340"/>
      <c r="L8340" s="1">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K8341"/>
      <c r="L8341" s="1">
        <v>42.177</v>
      </c>
      <c r="M8341">
        <v>4</v>
      </c>
    </row>
    <row r="8342" spans="1:13" x14ac:dyDescent="0.3">
      <c r="A8342" t="s">
        <v>17</v>
      </c>
      <c r="B8342">
        <v>8341</v>
      </c>
      <c r="C8342" t="s">
        <v>1068</v>
      </c>
      <c r="D8342" t="s">
        <v>19</v>
      </c>
      <c r="E8342">
        <v>2018</v>
      </c>
      <c r="F8342" t="s">
        <v>45</v>
      </c>
      <c r="G8342" t="s">
        <v>21</v>
      </c>
      <c r="H8342" t="s">
        <v>15</v>
      </c>
      <c r="I8342" t="s">
        <v>46</v>
      </c>
      <c r="J8342">
        <v>1.7556795E-2</v>
      </c>
      <c r="K8342"/>
      <c r="L8342" s="1">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K8343"/>
      <c r="L8343" s="1">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K8344"/>
      <c r="L8344" s="1">
        <v>235.69059999999999</v>
      </c>
      <c r="M8344">
        <v>4</v>
      </c>
    </row>
    <row r="8345" spans="1:13" x14ac:dyDescent="0.3">
      <c r="A8345" t="s">
        <v>17</v>
      </c>
      <c r="B8345">
        <v>8344</v>
      </c>
      <c r="C8345" t="s">
        <v>238</v>
      </c>
      <c r="D8345" t="s">
        <v>19</v>
      </c>
      <c r="E8345">
        <v>2018</v>
      </c>
      <c r="F8345" t="s">
        <v>45</v>
      </c>
      <c r="G8345" t="s">
        <v>21</v>
      </c>
      <c r="H8345" t="s">
        <v>15</v>
      </c>
      <c r="I8345" t="s">
        <v>46</v>
      </c>
      <c r="J8345">
        <v>0</v>
      </c>
      <c r="K8345"/>
      <c r="L8345" s="1">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K8346"/>
      <c r="L8346" s="1">
        <v>199.60839999999999</v>
      </c>
      <c r="M8346">
        <v>4</v>
      </c>
    </row>
    <row r="8347" spans="1:13" x14ac:dyDescent="0.3">
      <c r="A8347" t="s">
        <v>17</v>
      </c>
      <c r="B8347">
        <v>8346</v>
      </c>
      <c r="C8347" t="s">
        <v>211</v>
      </c>
      <c r="D8347" t="s">
        <v>19</v>
      </c>
      <c r="E8347">
        <v>2018</v>
      </c>
      <c r="F8347" t="s">
        <v>45</v>
      </c>
      <c r="G8347" t="s">
        <v>21</v>
      </c>
      <c r="H8347" t="s">
        <v>15</v>
      </c>
      <c r="I8347" t="s">
        <v>46</v>
      </c>
      <c r="J8347">
        <v>2.426524E-2</v>
      </c>
      <c r="K8347"/>
      <c r="L8347" s="1">
        <v>114.0492</v>
      </c>
      <c r="M8347">
        <v>4</v>
      </c>
    </row>
    <row r="8348" spans="1:13" x14ac:dyDescent="0.3">
      <c r="A8348" t="s">
        <v>17</v>
      </c>
      <c r="B8348">
        <v>8347</v>
      </c>
      <c r="C8348" t="s">
        <v>1445</v>
      </c>
      <c r="D8348" t="s">
        <v>19</v>
      </c>
      <c r="E8348">
        <v>2018</v>
      </c>
      <c r="F8348" t="s">
        <v>45</v>
      </c>
      <c r="G8348" t="s">
        <v>21</v>
      </c>
      <c r="H8348" t="s">
        <v>15</v>
      </c>
      <c r="I8348" t="s">
        <v>46</v>
      </c>
      <c r="J8348">
        <v>5.4376275000000002E-2</v>
      </c>
      <c r="K8348"/>
      <c r="L8348" s="1">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K8349"/>
      <c r="L8349" s="1">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K8350"/>
      <c r="L8350" s="1">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K8351"/>
      <c r="L8351" s="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K8352"/>
      <c r="L8352" s="1">
        <v>188.62139999999999</v>
      </c>
      <c r="M8352">
        <v>4</v>
      </c>
    </row>
    <row r="8353" spans="1:13" x14ac:dyDescent="0.3">
      <c r="A8353" t="s">
        <v>17</v>
      </c>
      <c r="B8353">
        <v>8352</v>
      </c>
      <c r="C8353" t="s">
        <v>669</v>
      </c>
      <c r="D8353" t="s">
        <v>19</v>
      </c>
      <c r="E8353">
        <v>2018</v>
      </c>
      <c r="F8353" t="s">
        <v>45</v>
      </c>
      <c r="G8353" t="s">
        <v>21</v>
      </c>
      <c r="H8353" t="s">
        <v>15</v>
      </c>
      <c r="I8353" t="s">
        <v>46</v>
      </c>
      <c r="J8353">
        <v>1.5375557E-2</v>
      </c>
      <c r="K8353"/>
      <c r="L8353" s="1">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K8354"/>
      <c r="L8354" s="1">
        <v>117.4492</v>
      </c>
      <c r="M8354">
        <v>4</v>
      </c>
    </row>
    <row r="8355" spans="1:13" x14ac:dyDescent="0.3">
      <c r="A8355" t="s">
        <v>17</v>
      </c>
      <c r="B8355">
        <v>8354</v>
      </c>
      <c r="C8355" t="s">
        <v>448</v>
      </c>
      <c r="D8355" t="s">
        <v>42</v>
      </c>
      <c r="E8355">
        <v>2018</v>
      </c>
      <c r="F8355" t="s">
        <v>45</v>
      </c>
      <c r="G8355" t="s">
        <v>21</v>
      </c>
      <c r="H8355" t="s">
        <v>15</v>
      </c>
      <c r="I8355" t="s">
        <v>46</v>
      </c>
      <c r="J8355">
        <v>0.118099673</v>
      </c>
      <c r="K8355"/>
      <c r="L8355" s="1">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K8356"/>
      <c r="L8356" s="1">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K8357"/>
      <c r="L8357" s="1">
        <v>103.3964</v>
      </c>
      <c r="M8357">
        <v>4</v>
      </c>
    </row>
    <row r="8358" spans="1:13" x14ac:dyDescent="0.3">
      <c r="A8358" t="s">
        <v>17</v>
      </c>
      <c r="B8358">
        <v>8357</v>
      </c>
      <c r="C8358" t="s">
        <v>1412</v>
      </c>
      <c r="D8358" t="s">
        <v>42</v>
      </c>
      <c r="E8358">
        <v>2018</v>
      </c>
      <c r="F8358" t="s">
        <v>45</v>
      </c>
      <c r="G8358" t="s">
        <v>21</v>
      </c>
      <c r="H8358" t="s">
        <v>15</v>
      </c>
      <c r="I8358" t="s">
        <v>46</v>
      </c>
      <c r="J8358">
        <v>7.2317217000000003E-2</v>
      </c>
      <c r="K8358"/>
      <c r="L8358" s="1">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K8359"/>
      <c r="L8359" s="1">
        <v>163.7526</v>
      </c>
      <c r="M8359">
        <v>4</v>
      </c>
    </row>
    <row r="8360" spans="1:13" x14ac:dyDescent="0.3">
      <c r="A8360" t="s">
        <v>17</v>
      </c>
      <c r="B8360">
        <v>8359</v>
      </c>
      <c r="C8360" t="s">
        <v>708</v>
      </c>
      <c r="D8360" t="s">
        <v>42</v>
      </c>
      <c r="E8360">
        <v>2018</v>
      </c>
      <c r="F8360" t="s">
        <v>45</v>
      </c>
      <c r="G8360" t="s">
        <v>21</v>
      </c>
      <c r="H8360" t="s">
        <v>15</v>
      </c>
      <c r="I8360" t="s">
        <v>46</v>
      </c>
      <c r="J8360">
        <v>2.8868466999999998E-2</v>
      </c>
      <c r="K8360"/>
      <c r="L8360" s="1">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K8361"/>
      <c r="L8361" s="1">
        <v>33.621600000000001</v>
      </c>
      <c r="M8361">
        <v>4</v>
      </c>
    </row>
    <row r="8362" spans="1:13" x14ac:dyDescent="0.3">
      <c r="A8362" t="s">
        <v>17</v>
      </c>
      <c r="B8362">
        <v>8361</v>
      </c>
      <c r="C8362" t="s">
        <v>1151</v>
      </c>
      <c r="D8362" t="s">
        <v>42</v>
      </c>
      <c r="E8362">
        <v>2018</v>
      </c>
      <c r="F8362" t="s">
        <v>45</v>
      </c>
      <c r="G8362" t="s">
        <v>21</v>
      </c>
      <c r="H8362" t="s">
        <v>15</v>
      </c>
      <c r="I8362" t="s">
        <v>46</v>
      </c>
      <c r="J8362">
        <v>8.8551694E-2</v>
      </c>
      <c r="K8362"/>
      <c r="L8362" s="1">
        <v>191.5504</v>
      </c>
      <c r="M8362">
        <v>4</v>
      </c>
    </row>
    <row r="8363" spans="1:13" x14ac:dyDescent="0.3">
      <c r="A8363" t="s">
        <v>17</v>
      </c>
      <c r="B8363">
        <v>8362</v>
      </c>
      <c r="C8363" t="s">
        <v>1149</v>
      </c>
      <c r="D8363" t="s">
        <v>42</v>
      </c>
      <c r="E8363">
        <v>2018</v>
      </c>
      <c r="F8363" t="s">
        <v>45</v>
      </c>
      <c r="G8363" t="s">
        <v>21</v>
      </c>
      <c r="H8363" t="s">
        <v>15</v>
      </c>
      <c r="I8363" t="s">
        <v>46</v>
      </c>
      <c r="J8363">
        <v>2.9302769999999999E-2</v>
      </c>
      <c r="K8363"/>
      <c r="L8363" s="1">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K8364"/>
      <c r="L8364" s="1">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K8365"/>
      <c r="L8365" s="1">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K8366"/>
      <c r="L8366" s="1">
        <v>231.601</v>
      </c>
      <c r="M8366">
        <v>4</v>
      </c>
    </row>
    <row r="8367" spans="1:13" x14ac:dyDescent="0.3">
      <c r="A8367" t="s">
        <v>17</v>
      </c>
      <c r="B8367">
        <v>8366</v>
      </c>
      <c r="C8367" t="s">
        <v>301</v>
      </c>
      <c r="D8367" t="s">
        <v>42</v>
      </c>
      <c r="E8367">
        <v>2018</v>
      </c>
      <c r="F8367" t="s">
        <v>45</v>
      </c>
      <c r="G8367" t="s">
        <v>21</v>
      </c>
      <c r="H8367" t="s">
        <v>15</v>
      </c>
      <c r="I8367" t="s">
        <v>46</v>
      </c>
      <c r="J8367">
        <v>3.3436335999999997E-2</v>
      </c>
      <c r="K8367"/>
      <c r="L8367" s="1">
        <v>107.3912</v>
      </c>
      <c r="M8367">
        <v>4</v>
      </c>
    </row>
    <row r="8368" spans="1:13" x14ac:dyDescent="0.3">
      <c r="A8368" t="s">
        <v>17</v>
      </c>
      <c r="B8368">
        <v>8367</v>
      </c>
      <c r="C8368" t="s">
        <v>1600</v>
      </c>
      <c r="D8368" t="s">
        <v>42</v>
      </c>
      <c r="E8368">
        <v>2018</v>
      </c>
      <c r="F8368" t="s">
        <v>45</v>
      </c>
      <c r="G8368" t="s">
        <v>21</v>
      </c>
      <c r="H8368" t="s">
        <v>15</v>
      </c>
      <c r="I8368" t="s">
        <v>46</v>
      </c>
      <c r="J8368">
        <v>1.2592289E-2</v>
      </c>
      <c r="K8368"/>
      <c r="L8368" s="1">
        <v>123.34139999999999</v>
      </c>
      <c r="M8368">
        <v>4</v>
      </c>
    </row>
    <row r="8369" spans="1:13" x14ac:dyDescent="0.3">
      <c r="A8369" t="s">
        <v>17</v>
      </c>
      <c r="B8369">
        <v>8368</v>
      </c>
      <c r="C8369" t="s">
        <v>672</v>
      </c>
      <c r="D8369" t="s">
        <v>42</v>
      </c>
      <c r="E8369">
        <v>2018</v>
      </c>
      <c r="F8369" t="s">
        <v>45</v>
      </c>
      <c r="G8369" t="s">
        <v>21</v>
      </c>
      <c r="H8369" t="s">
        <v>15</v>
      </c>
      <c r="I8369" t="s">
        <v>46</v>
      </c>
      <c r="J8369">
        <v>2.6938317E-2</v>
      </c>
      <c r="K8369"/>
      <c r="L8369" s="1">
        <v>174.1396</v>
      </c>
      <c r="M8369">
        <v>4</v>
      </c>
    </row>
    <row r="8370" spans="1:13" x14ac:dyDescent="0.3">
      <c r="A8370" t="s">
        <v>17</v>
      </c>
      <c r="B8370">
        <v>8369</v>
      </c>
      <c r="C8370" t="s">
        <v>1226</v>
      </c>
      <c r="D8370" t="s">
        <v>42</v>
      </c>
      <c r="E8370">
        <v>2018</v>
      </c>
      <c r="F8370" t="s">
        <v>45</v>
      </c>
      <c r="G8370" t="s">
        <v>21</v>
      </c>
      <c r="H8370" t="s">
        <v>15</v>
      </c>
      <c r="I8370" t="s">
        <v>46</v>
      </c>
      <c r="J8370">
        <v>1.3056494E-2</v>
      </c>
      <c r="K8370"/>
      <c r="L8370" s="1">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K8371"/>
      <c r="L8371" s="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K8372"/>
      <c r="L8372" s="1">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K8373"/>
      <c r="L8373" s="1">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K8374"/>
      <c r="L8374" s="1">
        <v>253.60140000000001</v>
      </c>
      <c r="M8374">
        <v>4</v>
      </c>
    </row>
    <row r="8375" spans="1:13" x14ac:dyDescent="0.3">
      <c r="A8375" t="s">
        <v>17</v>
      </c>
      <c r="B8375">
        <v>8374</v>
      </c>
      <c r="C8375" t="s">
        <v>742</v>
      </c>
      <c r="D8375" t="s">
        <v>42</v>
      </c>
      <c r="E8375">
        <v>2018</v>
      </c>
      <c r="F8375" t="s">
        <v>45</v>
      </c>
      <c r="G8375" t="s">
        <v>21</v>
      </c>
      <c r="H8375" t="s">
        <v>15</v>
      </c>
      <c r="I8375" t="s">
        <v>46</v>
      </c>
      <c r="J8375">
        <v>0</v>
      </c>
      <c r="K8375"/>
      <c r="L8375" s="1">
        <v>115.2176</v>
      </c>
      <c r="M8375">
        <v>4</v>
      </c>
    </row>
    <row r="8376" spans="1:13" x14ac:dyDescent="0.3">
      <c r="A8376" t="s">
        <v>17</v>
      </c>
      <c r="B8376">
        <v>8375</v>
      </c>
      <c r="C8376" t="s">
        <v>618</v>
      </c>
      <c r="D8376" t="s">
        <v>42</v>
      </c>
      <c r="E8376">
        <v>2018</v>
      </c>
      <c r="F8376" t="s">
        <v>45</v>
      </c>
      <c r="G8376" t="s">
        <v>21</v>
      </c>
      <c r="H8376" t="s">
        <v>15</v>
      </c>
      <c r="I8376" t="s">
        <v>46</v>
      </c>
      <c r="J8376">
        <v>9.9447700000000003E-3</v>
      </c>
      <c r="K8376"/>
      <c r="L8376" s="1">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K8377"/>
      <c r="L8377" s="1">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K8378"/>
      <c r="L8378" s="1">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K8379"/>
      <c r="L8379" s="1">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K8380"/>
      <c r="L8380" s="1">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K8381"/>
      <c r="L8381" s="1">
        <v>177.00540000000001</v>
      </c>
      <c r="M8381">
        <v>4</v>
      </c>
    </row>
    <row r="8382" spans="1:13" x14ac:dyDescent="0.3">
      <c r="A8382" t="s">
        <v>17</v>
      </c>
      <c r="B8382">
        <v>8381</v>
      </c>
      <c r="C8382" t="s">
        <v>996</v>
      </c>
      <c r="D8382" t="s">
        <v>42</v>
      </c>
      <c r="E8382">
        <v>2018</v>
      </c>
      <c r="F8382" t="s">
        <v>45</v>
      </c>
      <c r="G8382" t="s">
        <v>21</v>
      </c>
      <c r="H8382" t="s">
        <v>15</v>
      </c>
      <c r="I8382" t="s">
        <v>46</v>
      </c>
      <c r="J8382">
        <v>0.176834351</v>
      </c>
      <c r="K8382"/>
      <c r="L8382" s="1">
        <v>172.1422</v>
      </c>
      <c r="M8382">
        <v>4</v>
      </c>
    </row>
    <row r="8383" spans="1:13" x14ac:dyDescent="0.3">
      <c r="A8383" t="s">
        <v>17</v>
      </c>
      <c r="B8383">
        <v>8382</v>
      </c>
      <c r="C8383" t="s">
        <v>565</v>
      </c>
      <c r="D8383" t="s">
        <v>54</v>
      </c>
      <c r="E8383">
        <v>2018</v>
      </c>
      <c r="F8383" t="s">
        <v>45</v>
      </c>
      <c r="G8383" t="s">
        <v>21</v>
      </c>
      <c r="H8383" t="s">
        <v>15</v>
      </c>
      <c r="I8383" t="s">
        <v>46</v>
      </c>
      <c r="J8383">
        <v>1.4353675999999999E-2</v>
      </c>
      <c r="K8383"/>
      <c r="L8383" s="1">
        <v>115.515</v>
      </c>
      <c r="M8383">
        <v>4</v>
      </c>
    </row>
    <row r="8384" spans="1:13" x14ac:dyDescent="0.3">
      <c r="A8384" t="s">
        <v>17</v>
      </c>
      <c r="B8384">
        <v>8383</v>
      </c>
      <c r="C8384" t="s">
        <v>1117</v>
      </c>
      <c r="D8384" t="s">
        <v>54</v>
      </c>
      <c r="E8384">
        <v>2018</v>
      </c>
      <c r="F8384" t="s">
        <v>45</v>
      </c>
      <c r="G8384" t="s">
        <v>21</v>
      </c>
      <c r="H8384" t="s">
        <v>15</v>
      </c>
      <c r="I8384" t="s">
        <v>46</v>
      </c>
      <c r="J8384">
        <v>3.9370913E-2</v>
      </c>
      <c r="K8384"/>
      <c r="L8384" s="1">
        <v>116.9808</v>
      </c>
      <c r="M8384">
        <v>4</v>
      </c>
    </row>
    <row r="8385" spans="1:13" x14ac:dyDescent="0.3">
      <c r="A8385" t="s">
        <v>17</v>
      </c>
      <c r="B8385">
        <v>8384</v>
      </c>
      <c r="C8385" t="s">
        <v>861</v>
      </c>
      <c r="D8385" t="s">
        <v>54</v>
      </c>
      <c r="E8385">
        <v>2018</v>
      </c>
      <c r="F8385" t="s">
        <v>45</v>
      </c>
      <c r="G8385" t="s">
        <v>21</v>
      </c>
      <c r="H8385" t="s">
        <v>15</v>
      </c>
      <c r="I8385" t="s">
        <v>46</v>
      </c>
      <c r="J8385">
        <v>6.9088769999999994E-2</v>
      </c>
      <c r="K8385"/>
      <c r="L8385" s="1">
        <v>52.3324</v>
      </c>
      <c r="M8385">
        <v>4</v>
      </c>
    </row>
    <row r="8386" spans="1:13" x14ac:dyDescent="0.3">
      <c r="A8386" t="s">
        <v>17</v>
      </c>
      <c r="B8386">
        <v>8385</v>
      </c>
      <c r="C8386" t="s">
        <v>631</v>
      </c>
      <c r="D8386" t="s">
        <v>64</v>
      </c>
      <c r="E8386">
        <v>2018</v>
      </c>
      <c r="F8386" t="s">
        <v>45</v>
      </c>
      <c r="G8386" t="s">
        <v>21</v>
      </c>
      <c r="H8386" t="s">
        <v>15</v>
      </c>
      <c r="I8386" t="s">
        <v>46</v>
      </c>
      <c r="J8386">
        <v>6.7270079999999996E-3</v>
      </c>
      <c r="K8386"/>
      <c r="L8386" s="1">
        <v>125.173</v>
      </c>
      <c r="M8386">
        <v>4</v>
      </c>
    </row>
    <row r="8387" spans="1:13" x14ac:dyDescent="0.3">
      <c r="A8387" t="s">
        <v>17</v>
      </c>
      <c r="B8387">
        <v>8386</v>
      </c>
      <c r="C8387" t="s">
        <v>468</v>
      </c>
      <c r="D8387" t="s">
        <v>64</v>
      </c>
      <c r="E8387">
        <v>2018</v>
      </c>
      <c r="F8387" t="s">
        <v>45</v>
      </c>
      <c r="G8387" t="s">
        <v>21</v>
      </c>
      <c r="H8387" t="s">
        <v>15</v>
      </c>
      <c r="I8387" t="s">
        <v>46</v>
      </c>
      <c r="J8387">
        <v>2.0460283999999999E-2</v>
      </c>
      <c r="K8387"/>
      <c r="L8387" s="1">
        <v>81.761799999999994</v>
      </c>
      <c r="M8387">
        <v>4</v>
      </c>
    </row>
    <row r="8388" spans="1:13" x14ac:dyDescent="0.3">
      <c r="A8388" t="s">
        <v>17</v>
      </c>
      <c r="B8388">
        <v>8387</v>
      </c>
      <c r="C8388" t="s">
        <v>1299</v>
      </c>
      <c r="D8388" t="s">
        <v>153</v>
      </c>
      <c r="E8388">
        <v>2018</v>
      </c>
      <c r="F8388" t="s">
        <v>45</v>
      </c>
      <c r="G8388" t="s">
        <v>21</v>
      </c>
      <c r="H8388" t="s">
        <v>15</v>
      </c>
      <c r="I8388" t="s">
        <v>46</v>
      </c>
      <c r="J8388">
        <v>0</v>
      </c>
      <c r="K8388"/>
      <c r="L8388" s="1">
        <v>109.45959999999999</v>
      </c>
      <c r="M8388">
        <v>4</v>
      </c>
    </row>
    <row r="8389" spans="1:13" x14ac:dyDescent="0.3">
      <c r="A8389" t="s">
        <v>17</v>
      </c>
      <c r="B8389">
        <v>8388</v>
      </c>
      <c r="C8389" t="s">
        <v>958</v>
      </c>
      <c r="D8389" t="s">
        <v>48</v>
      </c>
      <c r="E8389">
        <v>2018</v>
      </c>
      <c r="F8389" t="s">
        <v>45</v>
      </c>
      <c r="G8389" t="s">
        <v>21</v>
      </c>
      <c r="H8389" t="s">
        <v>15</v>
      </c>
      <c r="I8389" t="s">
        <v>46</v>
      </c>
      <c r="J8389">
        <v>0.117065801</v>
      </c>
      <c r="K8389"/>
      <c r="L8389" s="1">
        <v>196.11359999999999</v>
      </c>
      <c r="M8389">
        <v>4</v>
      </c>
    </row>
    <row r="8390" spans="1:13" x14ac:dyDescent="0.3">
      <c r="A8390" t="s">
        <v>17</v>
      </c>
      <c r="B8390">
        <v>8389</v>
      </c>
      <c r="C8390" t="s">
        <v>1306</v>
      </c>
      <c r="D8390" t="s">
        <v>48</v>
      </c>
      <c r="E8390">
        <v>2018</v>
      </c>
      <c r="F8390" t="s">
        <v>45</v>
      </c>
      <c r="G8390" t="s">
        <v>21</v>
      </c>
      <c r="H8390" t="s">
        <v>15</v>
      </c>
      <c r="I8390" t="s">
        <v>46</v>
      </c>
      <c r="J8390">
        <v>0.110901004</v>
      </c>
      <c r="K8390"/>
      <c r="L8390" s="1">
        <v>155.09979999999999</v>
      </c>
      <c r="M8390">
        <v>4</v>
      </c>
    </row>
    <row r="8391" spans="1:13" x14ac:dyDescent="0.3">
      <c r="A8391" t="s">
        <v>17</v>
      </c>
      <c r="B8391">
        <v>8390</v>
      </c>
      <c r="C8391" t="s">
        <v>469</v>
      </c>
      <c r="D8391" t="s">
        <v>48</v>
      </c>
      <c r="E8391">
        <v>2018</v>
      </c>
      <c r="F8391" t="s">
        <v>45</v>
      </c>
      <c r="G8391" t="s">
        <v>21</v>
      </c>
      <c r="H8391" t="s">
        <v>15</v>
      </c>
      <c r="I8391" t="s">
        <v>46</v>
      </c>
      <c r="J8391">
        <v>9.3217569E-2</v>
      </c>
      <c r="K8391"/>
      <c r="L8391" s="1">
        <v>116.7834</v>
      </c>
      <c r="M8391">
        <v>4</v>
      </c>
    </row>
    <row r="8392" spans="1:13" x14ac:dyDescent="0.3">
      <c r="A8392" t="s">
        <v>17</v>
      </c>
      <c r="B8392">
        <v>8391</v>
      </c>
      <c r="C8392" t="s">
        <v>1042</v>
      </c>
      <c r="D8392" t="s">
        <v>48</v>
      </c>
      <c r="E8392">
        <v>2018</v>
      </c>
      <c r="F8392" t="s">
        <v>45</v>
      </c>
      <c r="G8392" t="s">
        <v>21</v>
      </c>
      <c r="H8392" t="s">
        <v>15</v>
      </c>
      <c r="I8392" t="s">
        <v>46</v>
      </c>
      <c r="J8392">
        <v>0</v>
      </c>
      <c r="K8392"/>
      <c r="L8392" s="1">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K8393"/>
      <c r="L8393" s="1">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K8394"/>
      <c r="L8394" s="1">
        <v>90.214600000000004</v>
      </c>
      <c r="M8394">
        <v>4</v>
      </c>
    </row>
    <row r="8395" spans="1:13" x14ac:dyDescent="0.3">
      <c r="A8395" t="s">
        <v>17</v>
      </c>
      <c r="B8395">
        <v>8394</v>
      </c>
      <c r="C8395" t="s">
        <v>1212</v>
      </c>
      <c r="D8395" t="s">
        <v>48</v>
      </c>
      <c r="E8395">
        <v>2018</v>
      </c>
      <c r="F8395" t="s">
        <v>45</v>
      </c>
      <c r="G8395" t="s">
        <v>21</v>
      </c>
      <c r="H8395" t="s">
        <v>15</v>
      </c>
      <c r="I8395" t="s">
        <v>46</v>
      </c>
      <c r="J8395">
        <v>5.2554508E-2</v>
      </c>
      <c r="K8395"/>
      <c r="L8395" s="1">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K8396"/>
      <c r="L8396" s="1">
        <v>174.2054</v>
      </c>
      <c r="M8396">
        <v>4</v>
      </c>
    </row>
    <row r="8397" spans="1:13" x14ac:dyDescent="0.3">
      <c r="A8397" t="s">
        <v>17</v>
      </c>
      <c r="B8397">
        <v>8396</v>
      </c>
      <c r="C8397" t="s">
        <v>246</v>
      </c>
      <c r="D8397" t="s">
        <v>48</v>
      </c>
      <c r="E8397">
        <v>2018</v>
      </c>
      <c r="F8397" t="s">
        <v>45</v>
      </c>
      <c r="G8397" t="s">
        <v>21</v>
      </c>
      <c r="H8397" t="s">
        <v>15</v>
      </c>
      <c r="I8397" t="s">
        <v>46</v>
      </c>
      <c r="J8397">
        <v>9.1318935000000004E-2</v>
      </c>
      <c r="K8397"/>
      <c r="L8397" s="1">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K8398"/>
      <c r="L8398" s="1">
        <v>214.88499999999999</v>
      </c>
      <c r="M8398">
        <v>4</v>
      </c>
    </row>
    <row r="8399" spans="1:13" x14ac:dyDescent="0.3">
      <c r="A8399" t="s">
        <v>17</v>
      </c>
      <c r="B8399">
        <v>8398</v>
      </c>
      <c r="C8399" t="s">
        <v>615</v>
      </c>
      <c r="D8399" t="s">
        <v>48</v>
      </c>
      <c r="E8399">
        <v>2018</v>
      </c>
      <c r="F8399" t="s">
        <v>45</v>
      </c>
      <c r="G8399" t="s">
        <v>21</v>
      </c>
      <c r="H8399" t="s">
        <v>15</v>
      </c>
      <c r="I8399" t="s">
        <v>46</v>
      </c>
      <c r="J8399">
        <v>3.6213953E-2</v>
      </c>
      <c r="K8399"/>
      <c r="L8399" s="1">
        <v>92.5488</v>
      </c>
      <c r="M8399">
        <v>4</v>
      </c>
    </row>
    <row r="8400" spans="1:13" x14ac:dyDescent="0.3">
      <c r="A8400" t="s">
        <v>17</v>
      </c>
      <c r="B8400">
        <v>8399</v>
      </c>
      <c r="C8400" t="s">
        <v>220</v>
      </c>
      <c r="D8400" t="s">
        <v>48</v>
      </c>
      <c r="E8400">
        <v>2018</v>
      </c>
      <c r="F8400" t="s">
        <v>45</v>
      </c>
      <c r="G8400" t="s">
        <v>21</v>
      </c>
      <c r="H8400" t="s">
        <v>15</v>
      </c>
      <c r="I8400" t="s">
        <v>46</v>
      </c>
      <c r="J8400">
        <v>4.0747616E-2</v>
      </c>
      <c r="K8400"/>
      <c r="L8400" s="1">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K8401"/>
      <c r="L8401" s="1">
        <v>126.2704</v>
      </c>
      <c r="M8401">
        <v>4</v>
      </c>
    </row>
    <row r="8402" spans="1:13" x14ac:dyDescent="0.3">
      <c r="A8402" t="s">
        <v>17</v>
      </c>
      <c r="B8402">
        <v>8401</v>
      </c>
      <c r="C8402" t="s">
        <v>1000</v>
      </c>
      <c r="D8402" t="s">
        <v>48</v>
      </c>
      <c r="E8402">
        <v>2018</v>
      </c>
      <c r="F8402" t="s">
        <v>45</v>
      </c>
      <c r="G8402" t="s">
        <v>21</v>
      </c>
      <c r="H8402" t="s">
        <v>15</v>
      </c>
      <c r="I8402" t="s">
        <v>46</v>
      </c>
      <c r="J8402">
        <v>0.15919319400000001</v>
      </c>
      <c r="K8402"/>
      <c r="L8402" s="1">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K8403"/>
      <c r="L8403" s="1">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K8404"/>
      <c r="L8404" s="1">
        <v>113.2834</v>
      </c>
      <c r="M8404">
        <v>4</v>
      </c>
    </row>
    <row r="8405" spans="1:13" x14ac:dyDescent="0.3">
      <c r="A8405" t="s">
        <v>17</v>
      </c>
      <c r="B8405">
        <v>8404</v>
      </c>
      <c r="C8405" t="s">
        <v>219</v>
      </c>
      <c r="D8405" t="s">
        <v>48</v>
      </c>
      <c r="E8405">
        <v>2018</v>
      </c>
      <c r="F8405" t="s">
        <v>45</v>
      </c>
      <c r="G8405" t="s">
        <v>21</v>
      </c>
      <c r="H8405" t="s">
        <v>15</v>
      </c>
      <c r="I8405" t="s">
        <v>46</v>
      </c>
      <c r="J8405">
        <v>3.3018559000000003E-2</v>
      </c>
      <c r="K8405"/>
      <c r="L8405" s="1">
        <v>170.44220000000001</v>
      </c>
      <c r="M8405">
        <v>4</v>
      </c>
    </row>
    <row r="8406" spans="1:13" x14ac:dyDescent="0.3">
      <c r="A8406" t="s">
        <v>17</v>
      </c>
      <c r="B8406">
        <v>8405</v>
      </c>
      <c r="C8406" t="s">
        <v>1601</v>
      </c>
      <c r="D8406" t="s">
        <v>48</v>
      </c>
      <c r="E8406">
        <v>2018</v>
      </c>
      <c r="F8406" t="s">
        <v>45</v>
      </c>
      <c r="G8406" t="s">
        <v>21</v>
      </c>
      <c r="H8406" t="s">
        <v>15</v>
      </c>
      <c r="I8406" t="s">
        <v>46</v>
      </c>
      <c r="J8406">
        <v>0</v>
      </c>
      <c r="K8406"/>
      <c r="L8406" s="1">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K8407"/>
      <c r="L8407" s="1">
        <v>147.476</v>
      </c>
      <c r="M8407">
        <v>4</v>
      </c>
    </row>
    <row r="8408" spans="1:13" x14ac:dyDescent="0.3">
      <c r="A8408" t="s">
        <v>17</v>
      </c>
      <c r="B8408">
        <v>8407</v>
      </c>
      <c r="C8408" t="s">
        <v>1509</v>
      </c>
      <c r="D8408" t="s">
        <v>48</v>
      </c>
      <c r="E8408">
        <v>2018</v>
      </c>
      <c r="F8408" t="s">
        <v>45</v>
      </c>
      <c r="G8408" t="s">
        <v>21</v>
      </c>
      <c r="H8408" t="s">
        <v>15</v>
      </c>
      <c r="I8408" t="s">
        <v>46</v>
      </c>
      <c r="J8408">
        <v>7.7348213999999998E-2</v>
      </c>
      <c r="K8408"/>
      <c r="L8408" s="1">
        <v>259.7962</v>
      </c>
      <c r="M8408">
        <v>4</v>
      </c>
    </row>
    <row r="8409" spans="1:13" x14ac:dyDescent="0.3">
      <c r="A8409" t="s">
        <v>17</v>
      </c>
      <c r="B8409">
        <v>8408</v>
      </c>
      <c r="C8409" t="s">
        <v>593</v>
      </c>
      <c r="D8409" t="s">
        <v>48</v>
      </c>
      <c r="E8409">
        <v>2018</v>
      </c>
      <c r="F8409" t="s">
        <v>45</v>
      </c>
      <c r="G8409" t="s">
        <v>21</v>
      </c>
      <c r="H8409" t="s">
        <v>15</v>
      </c>
      <c r="I8409" t="s">
        <v>46</v>
      </c>
      <c r="J8409">
        <v>0.13874251800000001</v>
      </c>
      <c r="K8409"/>
      <c r="L8409" s="1">
        <v>147.476</v>
      </c>
      <c r="M8409">
        <v>4</v>
      </c>
    </row>
    <row r="8410" spans="1:13" x14ac:dyDescent="0.3">
      <c r="A8410" t="s">
        <v>17</v>
      </c>
      <c r="B8410">
        <v>8409</v>
      </c>
      <c r="C8410" t="s">
        <v>656</v>
      </c>
      <c r="D8410" t="s">
        <v>48</v>
      </c>
      <c r="E8410">
        <v>2018</v>
      </c>
      <c r="F8410" t="s">
        <v>45</v>
      </c>
      <c r="G8410" t="s">
        <v>21</v>
      </c>
      <c r="H8410" t="s">
        <v>15</v>
      </c>
      <c r="I8410" t="s">
        <v>46</v>
      </c>
      <c r="J8410">
        <v>0.102941345</v>
      </c>
      <c r="K8410"/>
      <c r="L8410" s="1">
        <v>142.047</v>
      </c>
      <c r="M8410">
        <v>4</v>
      </c>
    </row>
    <row r="8411" spans="1:13" x14ac:dyDescent="0.3">
      <c r="A8411" t="s">
        <v>17</v>
      </c>
      <c r="B8411">
        <v>8410</v>
      </c>
      <c r="C8411" t="s">
        <v>722</v>
      </c>
      <c r="D8411" t="s">
        <v>48</v>
      </c>
      <c r="E8411">
        <v>2018</v>
      </c>
      <c r="F8411" t="s">
        <v>45</v>
      </c>
      <c r="G8411" t="s">
        <v>21</v>
      </c>
      <c r="H8411" t="s">
        <v>15</v>
      </c>
      <c r="I8411" t="s">
        <v>46</v>
      </c>
      <c r="J8411">
        <v>8.5538477000000002E-2</v>
      </c>
      <c r="K8411"/>
      <c r="L8411" s="1">
        <v>169.2816</v>
      </c>
      <c r="M8411">
        <v>4</v>
      </c>
    </row>
    <row r="8412" spans="1:13" x14ac:dyDescent="0.3">
      <c r="A8412" t="s">
        <v>17</v>
      </c>
      <c r="B8412">
        <v>8411</v>
      </c>
      <c r="C8412" t="s">
        <v>476</v>
      </c>
      <c r="D8412" t="s">
        <v>48</v>
      </c>
      <c r="E8412">
        <v>2018</v>
      </c>
      <c r="F8412" t="s">
        <v>45</v>
      </c>
      <c r="G8412" t="s">
        <v>21</v>
      </c>
      <c r="H8412" t="s">
        <v>15</v>
      </c>
      <c r="I8412" t="s">
        <v>46</v>
      </c>
      <c r="J8412">
        <v>4.3551752999999999E-2</v>
      </c>
      <c r="K8412"/>
      <c r="L8412" s="1">
        <v>184.495</v>
      </c>
      <c r="M8412">
        <v>4</v>
      </c>
    </row>
    <row r="8413" spans="1:13" x14ac:dyDescent="0.3">
      <c r="A8413" t="s">
        <v>17</v>
      </c>
      <c r="B8413">
        <v>8412</v>
      </c>
      <c r="C8413" t="s">
        <v>1541</v>
      </c>
      <c r="D8413" t="s">
        <v>48</v>
      </c>
      <c r="E8413">
        <v>2018</v>
      </c>
      <c r="F8413" t="s">
        <v>45</v>
      </c>
      <c r="G8413" t="s">
        <v>21</v>
      </c>
      <c r="H8413" t="s">
        <v>15</v>
      </c>
      <c r="I8413" t="s">
        <v>46</v>
      </c>
      <c r="J8413">
        <v>0.17264121299999999</v>
      </c>
      <c r="K8413"/>
      <c r="L8413" s="1">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K8414"/>
      <c r="L8414" s="1">
        <v>188.38980000000001</v>
      </c>
      <c r="M8414">
        <v>4</v>
      </c>
    </row>
    <row r="8415" spans="1:13" x14ac:dyDescent="0.3">
      <c r="A8415" t="s">
        <v>17</v>
      </c>
      <c r="B8415">
        <v>8414</v>
      </c>
      <c r="C8415" t="s">
        <v>942</v>
      </c>
      <c r="D8415" t="s">
        <v>48</v>
      </c>
      <c r="E8415">
        <v>2018</v>
      </c>
      <c r="F8415" t="s">
        <v>45</v>
      </c>
      <c r="G8415" t="s">
        <v>21</v>
      </c>
      <c r="H8415" t="s">
        <v>15</v>
      </c>
      <c r="I8415" t="s">
        <v>46</v>
      </c>
      <c r="J8415">
        <v>0.106876976</v>
      </c>
      <c r="K8415"/>
      <c r="L8415" s="1">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K8416"/>
      <c r="L8416" s="1">
        <v>190.053</v>
      </c>
      <c r="M8416">
        <v>4</v>
      </c>
    </row>
    <row r="8417" spans="1:13" x14ac:dyDescent="0.3">
      <c r="A8417" t="s">
        <v>17</v>
      </c>
      <c r="B8417">
        <v>8416</v>
      </c>
      <c r="C8417" t="s">
        <v>898</v>
      </c>
      <c r="D8417" t="s">
        <v>32</v>
      </c>
      <c r="E8417">
        <v>2018</v>
      </c>
      <c r="F8417" t="s">
        <v>45</v>
      </c>
      <c r="G8417" t="s">
        <v>21</v>
      </c>
      <c r="H8417" t="s">
        <v>15</v>
      </c>
      <c r="I8417" t="s">
        <v>46</v>
      </c>
      <c r="J8417">
        <v>6.9123359999999995E-2</v>
      </c>
      <c r="K8417"/>
      <c r="L8417" s="1">
        <v>106.0938</v>
      </c>
      <c r="M8417">
        <v>4</v>
      </c>
    </row>
    <row r="8418" spans="1:13" x14ac:dyDescent="0.3">
      <c r="A8418" t="s">
        <v>17</v>
      </c>
      <c r="B8418">
        <v>8417</v>
      </c>
      <c r="C8418" t="s">
        <v>181</v>
      </c>
      <c r="D8418" t="s">
        <v>32</v>
      </c>
      <c r="E8418">
        <v>2018</v>
      </c>
      <c r="F8418" t="s">
        <v>45</v>
      </c>
      <c r="G8418" t="s">
        <v>21</v>
      </c>
      <c r="H8418" t="s">
        <v>15</v>
      </c>
      <c r="I8418" t="s">
        <v>46</v>
      </c>
      <c r="J8418">
        <v>3.0645958000000001E-2</v>
      </c>
      <c r="K8418"/>
      <c r="L8418" s="1">
        <v>141.71539999999999</v>
      </c>
      <c r="M8418">
        <v>4</v>
      </c>
    </row>
    <row r="8419" spans="1:13" x14ac:dyDescent="0.3">
      <c r="A8419" t="s">
        <v>17</v>
      </c>
      <c r="B8419">
        <v>8418</v>
      </c>
      <c r="C8419" t="s">
        <v>1073</v>
      </c>
      <c r="D8419" t="s">
        <v>32</v>
      </c>
      <c r="E8419">
        <v>2018</v>
      </c>
      <c r="F8419" t="s">
        <v>45</v>
      </c>
      <c r="G8419" t="s">
        <v>21</v>
      </c>
      <c r="H8419" t="s">
        <v>15</v>
      </c>
      <c r="I8419" t="s">
        <v>46</v>
      </c>
      <c r="J8419">
        <v>1.724183E-2</v>
      </c>
      <c r="K8419"/>
      <c r="L8419" s="1">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K8420"/>
      <c r="L8420" s="1">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K8421"/>
      <c r="L8421" s="1">
        <v>242.8486</v>
      </c>
      <c r="M8421">
        <v>4</v>
      </c>
    </row>
    <row r="8422" spans="1:13" x14ac:dyDescent="0.3">
      <c r="A8422" t="s">
        <v>17</v>
      </c>
      <c r="B8422">
        <v>8421</v>
      </c>
      <c r="C8422" t="s">
        <v>1183</v>
      </c>
      <c r="D8422" t="s">
        <v>32</v>
      </c>
      <c r="E8422">
        <v>2018</v>
      </c>
      <c r="F8422" t="s">
        <v>45</v>
      </c>
      <c r="G8422" t="s">
        <v>21</v>
      </c>
      <c r="H8422" t="s">
        <v>15</v>
      </c>
      <c r="I8422" t="s">
        <v>46</v>
      </c>
      <c r="J8422">
        <v>0.114475357</v>
      </c>
      <c r="K8422"/>
      <c r="L8422" s="1">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K8423"/>
      <c r="L8423" s="1">
        <v>189.053</v>
      </c>
      <c r="M8423">
        <v>4</v>
      </c>
    </row>
    <row r="8424" spans="1:13" x14ac:dyDescent="0.3">
      <c r="A8424" t="s">
        <v>17</v>
      </c>
      <c r="B8424">
        <v>8423</v>
      </c>
      <c r="C8424" t="s">
        <v>1242</v>
      </c>
      <c r="D8424" t="s">
        <v>32</v>
      </c>
      <c r="E8424">
        <v>2018</v>
      </c>
      <c r="F8424" t="s">
        <v>45</v>
      </c>
      <c r="G8424" t="s">
        <v>21</v>
      </c>
      <c r="H8424" t="s">
        <v>15</v>
      </c>
      <c r="I8424" t="s">
        <v>46</v>
      </c>
      <c r="J8424">
        <v>3.5769657000000003E-2</v>
      </c>
      <c r="K8424"/>
      <c r="L8424" s="1">
        <v>40.913800000000002</v>
      </c>
      <c r="M8424">
        <v>4</v>
      </c>
    </row>
    <row r="8425" spans="1:13" x14ac:dyDescent="0.3">
      <c r="A8425" t="s">
        <v>17</v>
      </c>
      <c r="B8425">
        <v>8424</v>
      </c>
      <c r="C8425" t="s">
        <v>834</v>
      </c>
      <c r="D8425" t="s">
        <v>159</v>
      </c>
      <c r="E8425">
        <v>2018</v>
      </c>
      <c r="F8425" t="s">
        <v>45</v>
      </c>
      <c r="G8425" t="s">
        <v>21</v>
      </c>
      <c r="H8425" t="s">
        <v>15</v>
      </c>
      <c r="I8425" t="s">
        <v>46</v>
      </c>
      <c r="J8425">
        <v>0</v>
      </c>
      <c r="K8425"/>
      <c r="L8425" s="1">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K8426"/>
      <c r="L8426" s="1">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K8427"/>
      <c r="L8427" s="1">
        <v>37.616399999999999</v>
      </c>
      <c r="M8427">
        <v>4</v>
      </c>
    </row>
    <row r="8428" spans="1:13" x14ac:dyDescent="0.3">
      <c r="A8428" t="s">
        <v>10</v>
      </c>
      <c r="B8428">
        <v>8427</v>
      </c>
      <c r="C8428" t="s">
        <v>866</v>
      </c>
      <c r="D8428" t="s">
        <v>95</v>
      </c>
      <c r="E8428">
        <v>2018</v>
      </c>
      <c r="F8428" t="s">
        <v>45</v>
      </c>
      <c r="G8428" t="s">
        <v>21</v>
      </c>
      <c r="H8428" t="s">
        <v>15</v>
      </c>
      <c r="I8428" t="s">
        <v>46</v>
      </c>
      <c r="J8428">
        <v>0.116108797</v>
      </c>
      <c r="K8428"/>
      <c r="L8428" s="1">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K8429"/>
      <c r="L8429" s="1">
        <v>241.0538</v>
      </c>
      <c r="M8429">
        <v>4</v>
      </c>
    </row>
    <row r="8430" spans="1:13" x14ac:dyDescent="0.3">
      <c r="A8430" t="s">
        <v>10</v>
      </c>
      <c r="B8430">
        <v>8429</v>
      </c>
      <c r="C8430" t="s">
        <v>1544</v>
      </c>
      <c r="D8430" t="s">
        <v>95</v>
      </c>
      <c r="E8430">
        <v>2018</v>
      </c>
      <c r="F8430" t="s">
        <v>45</v>
      </c>
      <c r="G8430" t="s">
        <v>21</v>
      </c>
      <c r="H8430" t="s">
        <v>15</v>
      </c>
      <c r="I8430" t="s">
        <v>46</v>
      </c>
      <c r="J8430">
        <v>8.0346057999999998E-2</v>
      </c>
      <c r="K8430"/>
      <c r="L8430" s="1">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K8431"/>
      <c r="L8431" s="1">
        <v>88.382999999999996</v>
      </c>
      <c r="M8431">
        <v>4</v>
      </c>
    </row>
    <row r="8432" spans="1:13" x14ac:dyDescent="0.3">
      <c r="A8432" t="s">
        <v>10</v>
      </c>
      <c r="B8432">
        <v>8431</v>
      </c>
      <c r="C8432" t="s">
        <v>934</v>
      </c>
      <c r="D8432" t="s">
        <v>95</v>
      </c>
      <c r="E8432">
        <v>2018</v>
      </c>
      <c r="F8432" t="s">
        <v>45</v>
      </c>
      <c r="G8432" t="s">
        <v>21</v>
      </c>
      <c r="H8432" t="s">
        <v>15</v>
      </c>
      <c r="I8432" t="s">
        <v>46</v>
      </c>
      <c r="J8432">
        <v>5.1366901E-2</v>
      </c>
      <c r="K8432"/>
      <c r="L8432" s="1">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K8433"/>
      <c r="L8433" s="1">
        <v>164.95</v>
      </c>
      <c r="M8433">
        <v>4</v>
      </c>
    </row>
    <row r="8434" spans="1:13" x14ac:dyDescent="0.3">
      <c r="A8434" t="s">
        <v>10</v>
      </c>
      <c r="B8434">
        <v>8433</v>
      </c>
      <c r="C8434" t="s">
        <v>1046</v>
      </c>
      <c r="D8434" t="s">
        <v>57</v>
      </c>
      <c r="E8434">
        <v>2018</v>
      </c>
      <c r="F8434" t="s">
        <v>45</v>
      </c>
      <c r="G8434" t="s">
        <v>21</v>
      </c>
      <c r="H8434" t="s">
        <v>15</v>
      </c>
      <c r="I8434" t="s">
        <v>46</v>
      </c>
      <c r="J8434">
        <v>0</v>
      </c>
      <c r="K8434"/>
      <c r="L8434" s="1">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K8435"/>
      <c r="L8435" s="1">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K8436"/>
      <c r="L8436" s="1">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K8437"/>
      <c r="L8437" s="1">
        <v>102.9332</v>
      </c>
      <c r="M8437">
        <v>4</v>
      </c>
    </row>
    <row r="8438" spans="1:13" x14ac:dyDescent="0.3">
      <c r="A8438" t="s">
        <v>10</v>
      </c>
      <c r="B8438">
        <v>8437</v>
      </c>
      <c r="C8438" t="s">
        <v>429</v>
      </c>
      <c r="D8438" t="s">
        <v>74</v>
      </c>
      <c r="E8438">
        <v>2018</v>
      </c>
      <c r="F8438" t="s">
        <v>45</v>
      </c>
      <c r="G8438" t="s">
        <v>21</v>
      </c>
      <c r="H8438" t="s">
        <v>15</v>
      </c>
      <c r="I8438" t="s">
        <v>46</v>
      </c>
      <c r="J8438">
        <v>6.8754394999999996E-2</v>
      </c>
      <c r="K8438"/>
      <c r="L8438" s="1">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K8439"/>
      <c r="L8439" s="1">
        <v>183.0292</v>
      </c>
      <c r="M8439">
        <v>4</v>
      </c>
    </row>
    <row r="8440" spans="1:13" x14ac:dyDescent="0.3">
      <c r="A8440" t="s">
        <v>10</v>
      </c>
      <c r="B8440">
        <v>8439</v>
      </c>
      <c r="C8440" t="s">
        <v>900</v>
      </c>
      <c r="D8440" t="s">
        <v>28</v>
      </c>
      <c r="E8440">
        <v>2018</v>
      </c>
      <c r="F8440" t="s">
        <v>45</v>
      </c>
      <c r="G8440" t="s">
        <v>21</v>
      </c>
      <c r="H8440" t="s">
        <v>15</v>
      </c>
      <c r="I8440" t="s">
        <v>46</v>
      </c>
      <c r="J8440">
        <v>5.4114924000000002E-2</v>
      </c>
      <c r="K8440"/>
      <c r="L8440" s="1">
        <v>58.490400000000001</v>
      </c>
      <c r="M8440">
        <v>4</v>
      </c>
    </row>
    <row r="8441" spans="1:13" x14ac:dyDescent="0.3">
      <c r="A8441" t="s">
        <v>10</v>
      </c>
      <c r="B8441">
        <v>8440</v>
      </c>
      <c r="C8441" t="s">
        <v>251</v>
      </c>
      <c r="D8441" t="s">
        <v>28</v>
      </c>
      <c r="E8441">
        <v>2018</v>
      </c>
      <c r="F8441" t="s">
        <v>45</v>
      </c>
      <c r="G8441" t="s">
        <v>21</v>
      </c>
      <c r="H8441" t="s">
        <v>15</v>
      </c>
      <c r="I8441" t="s">
        <v>46</v>
      </c>
      <c r="J8441">
        <v>3.1116081E-2</v>
      </c>
      <c r="K8441"/>
      <c r="L8441" s="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K8442"/>
      <c r="L8442" s="1">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K8443"/>
      <c r="L8443" s="1">
        <v>150.9024</v>
      </c>
      <c r="M8443">
        <v>4</v>
      </c>
    </row>
    <row r="8444" spans="1:13" x14ac:dyDescent="0.3">
      <c r="A8444" t="s">
        <v>10</v>
      </c>
      <c r="B8444">
        <v>8443</v>
      </c>
      <c r="C8444" t="s">
        <v>966</v>
      </c>
      <c r="D8444" t="s">
        <v>28</v>
      </c>
      <c r="E8444">
        <v>2018</v>
      </c>
      <c r="F8444" t="s">
        <v>45</v>
      </c>
      <c r="G8444" t="s">
        <v>21</v>
      </c>
      <c r="H8444" t="s">
        <v>15</v>
      </c>
      <c r="I8444" t="s">
        <v>46</v>
      </c>
      <c r="J8444">
        <v>3.4531701999999997E-2</v>
      </c>
      <c r="K8444"/>
      <c r="L8444" s="1">
        <v>142.24959999999999</v>
      </c>
      <c r="M8444">
        <v>4</v>
      </c>
    </row>
    <row r="8445" spans="1:13" x14ac:dyDescent="0.3">
      <c r="A8445" t="s">
        <v>10</v>
      </c>
      <c r="B8445">
        <v>8444</v>
      </c>
      <c r="C8445" t="s">
        <v>357</v>
      </c>
      <c r="D8445" t="s">
        <v>28</v>
      </c>
      <c r="E8445">
        <v>2018</v>
      </c>
      <c r="F8445" t="s">
        <v>45</v>
      </c>
      <c r="G8445" t="s">
        <v>21</v>
      </c>
      <c r="H8445" t="s">
        <v>15</v>
      </c>
      <c r="I8445" t="s">
        <v>46</v>
      </c>
      <c r="J8445">
        <v>1.4661762E-2</v>
      </c>
      <c r="K8445"/>
      <c r="L8445" s="1">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K8446"/>
      <c r="L8446" s="1">
        <v>109.5228</v>
      </c>
      <c r="M8446">
        <v>4</v>
      </c>
    </row>
    <row r="8447" spans="1:13" x14ac:dyDescent="0.3">
      <c r="A8447" t="s">
        <v>10</v>
      </c>
      <c r="B8447">
        <v>8446</v>
      </c>
      <c r="C8447" t="s">
        <v>883</v>
      </c>
      <c r="D8447" t="s">
        <v>28</v>
      </c>
      <c r="E8447">
        <v>2018</v>
      </c>
      <c r="F8447" t="s">
        <v>45</v>
      </c>
      <c r="G8447" t="s">
        <v>21</v>
      </c>
      <c r="H8447" t="s">
        <v>15</v>
      </c>
      <c r="I8447" t="s">
        <v>46</v>
      </c>
      <c r="J8447">
        <v>0.10400212</v>
      </c>
      <c r="K8447"/>
      <c r="L8447" s="1">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K8448"/>
      <c r="L8448" s="1">
        <v>86.419799999999995</v>
      </c>
      <c r="M8448">
        <v>4</v>
      </c>
    </row>
    <row r="8449" spans="1:13" x14ac:dyDescent="0.3">
      <c r="A8449" t="s">
        <v>10</v>
      </c>
      <c r="B8449">
        <v>8448</v>
      </c>
      <c r="C8449" t="s">
        <v>711</v>
      </c>
      <c r="D8449" t="s">
        <v>28</v>
      </c>
      <c r="E8449">
        <v>2018</v>
      </c>
      <c r="F8449" t="s">
        <v>45</v>
      </c>
      <c r="G8449" t="s">
        <v>21</v>
      </c>
      <c r="H8449" t="s">
        <v>15</v>
      </c>
      <c r="I8449" t="s">
        <v>46</v>
      </c>
      <c r="J8449">
        <v>0.132500853</v>
      </c>
      <c r="K8449"/>
      <c r="L8449" s="1">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K8450"/>
      <c r="L8450" s="1">
        <v>217.6482</v>
      </c>
      <c r="M8450">
        <v>4</v>
      </c>
    </row>
    <row r="8451" spans="1:13" x14ac:dyDescent="0.3">
      <c r="A8451" t="s">
        <v>10</v>
      </c>
      <c r="B8451">
        <v>8450</v>
      </c>
      <c r="C8451" t="s">
        <v>1586</v>
      </c>
      <c r="D8451" t="s">
        <v>67</v>
      </c>
      <c r="E8451">
        <v>2018</v>
      </c>
      <c r="F8451" t="s">
        <v>45</v>
      </c>
      <c r="G8451" t="s">
        <v>21</v>
      </c>
      <c r="H8451" t="s">
        <v>15</v>
      </c>
      <c r="I8451" t="s">
        <v>46</v>
      </c>
      <c r="J8451">
        <v>0.16388212899999999</v>
      </c>
      <c r="K8451"/>
      <c r="L8451" s="1">
        <v>113.2518</v>
      </c>
      <c r="M8451">
        <v>4</v>
      </c>
    </row>
    <row r="8452" spans="1:13" x14ac:dyDescent="0.3">
      <c r="A8452" t="s">
        <v>10</v>
      </c>
      <c r="B8452">
        <v>8451</v>
      </c>
      <c r="C8452" t="s">
        <v>1347</v>
      </c>
      <c r="D8452" t="s">
        <v>67</v>
      </c>
      <c r="E8452">
        <v>2018</v>
      </c>
      <c r="F8452" t="s">
        <v>45</v>
      </c>
      <c r="G8452" t="s">
        <v>21</v>
      </c>
      <c r="H8452" t="s">
        <v>15</v>
      </c>
      <c r="I8452" t="s">
        <v>46</v>
      </c>
      <c r="J8452">
        <v>7.5033720000000003E-3</v>
      </c>
      <c r="K8452"/>
      <c r="L8452" s="1">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K8453"/>
      <c r="L8453" s="1">
        <v>109.157</v>
      </c>
      <c r="M8453">
        <v>4</v>
      </c>
    </row>
    <row r="8454" spans="1:13" x14ac:dyDescent="0.3">
      <c r="A8454" t="s">
        <v>10</v>
      </c>
      <c r="B8454">
        <v>8453</v>
      </c>
      <c r="C8454" t="s">
        <v>1607</v>
      </c>
      <c r="D8454" t="s">
        <v>67</v>
      </c>
      <c r="E8454">
        <v>2018</v>
      </c>
      <c r="F8454" t="s">
        <v>45</v>
      </c>
      <c r="G8454" t="s">
        <v>21</v>
      </c>
      <c r="H8454" t="s">
        <v>15</v>
      </c>
      <c r="I8454" t="s">
        <v>46</v>
      </c>
      <c r="J8454">
        <v>2.9742069999999999E-2</v>
      </c>
      <c r="K8454"/>
      <c r="L8454" s="1">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K8455"/>
      <c r="L8455" s="1">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K8456"/>
      <c r="L8456" s="1">
        <v>254.93559999999999</v>
      </c>
      <c r="M8456">
        <v>4</v>
      </c>
    </row>
    <row r="8457" spans="1:13" x14ac:dyDescent="0.3">
      <c r="A8457" t="s">
        <v>10</v>
      </c>
      <c r="B8457">
        <v>8456</v>
      </c>
      <c r="C8457" t="s">
        <v>1400</v>
      </c>
      <c r="D8457" t="s">
        <v>67</v>
      </c>
      <c r="E8457">
        <v>2018</v>
      </c>
      <c r="F8457" t="s">
        <v>45</v>
      </c>
      <c r="G8457" t="s">
        <v>21</v>
      </c>
      <c r="H8457" t="s">
        <v>15</v>
      </c>
      <c r="I8457" t="s">
        <v>46</v>
      </c>
      <c r="J8457">
        <v>0</v>
      </c>
      <c r="K8457"/>
      <c r="L8457" s="1">
        <v>196.4794</v>
      </c>
      <c r="M8457">
        <v>4</v>
      </c>
    </row>
    <row r="8458" spans="1:13" x14ac:dyDescent="0.3">
      <c r="A8458" t="s">
        <v>10</v>
      </c>
      <c r="B8458">
        <v>8457</v>
      </c>
      <c r="C8458" t="s">
        <v>1308</v>
      </c>
      <c r="D8458" t="s">
        <v>67</v>
      </c>
      <c r="E8458">
        <v>2018</v>
      </c>
      <c r="F8458" t="s">
        <v>45</v>
      </c>
      <c r="G8458" t="s">
        <v>21</v>
      </c>
      <c r="H8458" t="s">
        <v>15</v>
      </c>
      <c r="I8458" t="s">
        <v>46</v>
      </c>
      <c r="J8458">
        <v>0.127108578</v>
      </c>
      <c r="K8458"/>
      <c r="L8458" s="1">
        <v>120.744</v>
      </c>
      <c r="M8458">
        <v>4</v>
      </c>
    </row>
    <row r="8459" spans="1:13" x14ac:dyDescent="0.3">
      <c r="A8459" t="s">
        <v>10</v>
      </c>
      <c r="B8459">
        <v>8458</v>
      </c>
      <c r="C8459" t="s">
        <v>1244</v>
      </c>
      <c r="D8459" t="s">
        <v>67</v>
      </c>
      <c r="E8459">
        <v>2018</v>
      </c>
      <c r="F8459" t="s">
        <v>45</v>
      </c>
      <c r="G8459" t="s">
        <v>21</v>
      </c>
      <c r="H8459" t="s">
        <v>15</v>
      </c>
      <c r="I8459" t="s">
        <v>46</v>
      </c>
      <c r="J8459">
        <v>4.2412572000000003E-2</v>
      </c>
      <c r="K8459"/>
      <c r="L8459" s="1">
        <v>119.0782</v>
      </c>
      <c r="M8459">
        <v>4</v>
      </c>
    </row>
    <row r="8460" spans="1:13" x14ac:dyDescent="0.3">
      <c r="A8460" t="s">
        <v>10</v>
      </c>
      <c r="B8460">
        <v>8459</v>
      </c>
      <c r="C8460" t="s">
        <v>125</v>
      </c>
      <c r="D8460" t="s">
        <v>67</v>
      </c>
      <c r="E8460">
        <v>2018</v>
      </c>
      <c r="F8460" t="s">
        <v>45</v>
      </c>
      <c r="G8460" t="s">
        <v>21</v>
      </c>
      <c r="H8460" t="s">
        <v>15</v>
      </c>
      <c r="I8460" t="s">
        <v>46</v>
      </c>
      <c r="J8460">
        <v>7.5791641000000007E-2</v>
      </c>
      <c r="K8460"/>
      <c r="L8460" s="1">
        <v>193.3794</v>
      </c>
      <c r="M8460">
        <v>4</v>
      </c>
    </row>
    <row r="8461" spans="1:13" x14ac:dyDescent="0.3">
      <c r="A8461" t="s">
        <v>10</v>
      </c>
      <c r="B8461">
        <v>8460</v>
      </c>
      <c r="C8461" t="s">
        <v>1500</v>
      </c>
      <c r="D8461" t="s">
        <v>67</v>
      </c>
      <c r="E8461">
        <v>2018</v>
      </c>
      <c r="F8461" t="s">
        <v>45</v>
      </c>
      <c r="G8461" t="s">
        <v>21</v>
      </c>
      <c r="H8461" t="s">
        <v>15</v>
      </c>
      <c r="I8461" t="s">
        <v>46</v>
      </c>
      <c r="J8461">
        <v>8.7221496999999995E-2</v>
      </c>
      <c r="K8461"/>
      <c r="L8461" s="1">
        <v>263.99099999999999</v>
      </c>
      <c r="M8461">
        <v>4</v>
      </c>
    </row>
    <row r="8462" spans="1:13" x14ac:dyDescent="0.3">
      <c r="A8462" t="s">
        <v>10</v>
      </c>
      <c r="B8462">
        <v>8461</v>
      </c>
      <c r="C8462" t="s">
        <v>804</v>
      </c>
      <c r="D8462" t="s">
        <v>67</v>
      </c>
      <c r="E8462">
        <v>2018</v>
      </c>
      <c r="F8462" t="s">
        <v>45</v>
      </c>
      <c r="G8462" t="s">
        <v>21</v>
      </c>
      <c r="H8462" t="s">
        <v>15</v>
      </c>
      <c r="I8462" t="s">
        <v>46</v>
      </c>
      <c r="J8462">
        <v>0.170000805</v>
      </c>
      <c r="K8462"/>
      <c r="L8462" s="1">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K8463"/>
      <c r="L8463" s="1">
        <v>210.52440000000001</v>
      </c>
      <c r="M8463">
        <v>4</v>
      </c>
    </row>
    <row r="8464" spans="1:13" x14ac:dyDescent="0.3">
      <c r="A8464" t="s">
        <v>10</v>
      </c>
      <c r="B8464">
        <v>8463</v>
      </c>
      <c r="C8464" t="s">
        <v>702</v>
      </c>
      <c r="D8464" t="s">
        <v>67</v>
      </c>
      <c r="E8464">
        <v>2018</v>
      </c>
      <c r="F8464" t="s">
        <v>45</v>
      </c>
      <c r="G8464" t="s">
        <v>21</v>
      </c>
      <c r="H8464" t="s">
        <v>15</v>
      </c>
      <c r="I8464" t="s">
        <v>46</v>
      </c>
      <c r="J8464">
        <v>4.7358246E-2</v>
      </c>
      <c r="K8464"/>
      <c r="L8464" s="1">
        <v>123.1756</v>
      </c>
      <c r="M8464">
        <v>4</v>
      </c>
    </row>
    <row r="8465" spans="1:13" x14ac:dyDescent="0.3">
      <c r="A8465" t="s">
        <v>10</v>
      </c>
      <c r="B8465">
        <v>8464</v>
      </c>
      <c r="C8465" t="s">
        <v>126</v>
      </c>
      <c r="D8465" t="s">
        <v>24</v>
      </c>
      <c r="E8465">
        <v>2018</v>
      </c>
      <c r="F8465" t="s">
        <v>45</v>
      </c>
      <c r="G8465" t="s">
        <v>21</v>
      </c>
      <c r="H8465" t="s">
        <v>15</v>
      </c>
      <c r="I8465" t="s">
        <v>46</v>
      </c>
      <c r="J8465">
        <v>6.6406853000000002E-2</v>
      </c>
      <c r="K8465"/>
      <c r="L8465" s="1">
        <v>259.7962</v>
      </c>
      <c r="M8465">
        <v>4</v>
      </c>
    </row>
    <row r="8466" spans="1:13" x14ac:dyDescent="0.3">
      <c r="A8466" t="s">
        <v>10</v>
      </c>
      <c r="B8466">
        <v>8465</v>
      </c>
      <c r="C8466" t="s">
        <v>1416</v>
      </c>
      <c r="D8466" t="s">
        <v>24</v>
      </c>
      <c r="E8466">
        <v>2018</v>
      </c>
      <c r="F8466" t="s">
        <v>45</v>
      </c>
      <c r="G8466" t="s">
        <v>21</v>
      </c>
      <c r="H8466" t="s">
        <v>15</v>
      </c>
      <c r="I8466" t="s">
        <v>46</v>
      </c>
      <c r="J8466">
        <v>3.5666654999999998E-2</v>
      </c>
      <c r="K8466"/>
      <c r="L8466" s="1">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K8467"/>
      <c r="L8467" s="1">
        <v>60.2194</v>
      </c>
      <c r="M8467">
        <v>4</v>
      </c>
    </row>
    <row r="8468" spans="1:13" x14ac:dyDescent="0.3">
      <c r="A8468" t="s">
        <v>10</v>
      </c>
      <c r="B8468">
        <v>8467</v>
      </c>
      <c r="C8468" t="s">
        <v>1489</v>
      </c>
      <c r="D8468" t="s">
        <v>24</v>
      </c>
      <c r="E8468">
        <v>2018</v>
      </c>
      <c r="F8468" t="s">
        <v>45</v>
      </c>
      <c r="G8468" t="s">
        <v>21</v>
      </c>
      <c r="H8468" t="s">
        <v>15</v>
      </c>
      <c r="I8468" t="s">
        <v>46</v>
      </c>
      <c r="J8468">
        <v>7.2559350999999994E-2</v>
      </c>
      <c r="K8468"/>
      <c r="L8468" s="1">
        <v>199.3426</v>
      </c>
      <c r="M8468">
        <v>4</v>
      </c>
    </row>
    <row r="8469" spans="1:13" x14ac:dyDescent="0.3">
      <c r="A8469" t="s">
        <v>10</v>
      </c>
      <c r="B8469">
        <v>8468</v>
      </c>
      <c r="C8469" t="s">
        <v>1494</v>
      </c>
      <c r="D8469" t="s">
        <v>24</v>
      </c>
      <c r="E8469">
        <v>2018</v>
      </c>
      <c r="F8469" t="s">
        <v>45</v>
      </c>
      <c r="G8469" t="s">
        <v>21</v>
      </c>
      <c r="H8469" t="s">
        <v>15</v>
      </c>
      <c r="I8469" t="s">
        <v>46</v>
      </c>
      <c r="J8469">
        <v>7.0349402000000005E-2</v>
      </c>
      <c r="K8469"/>
      <c r="L8469" s="1">
        <v>228.601</v>
      </c>
      <c r="M8469">
        <v>4</v>
      </c>
    </row>
    <row r="8470" spans="1:13" x14ac:dyDescent="0.3">
      <c r="A8470" t="s">
        <v>10</v>
      </c>
      <c r="B8470">
        <v>8469</v>
      </c>
      <c r="C8470" t="s">
        <v>442</v>
      </c>
      <c r="D8470" t="s">
        <v>24</v>
      </c>
      <c r="E8470">
        <v>2018</v>
      </c>
      <c r="F8470" t="s">
        <v>45</v>
      </c>
      <c r="G8470" t="s">
        <v>21</v>
      </c>
      <c r="H8470" t="s">
        <v>15</v>
      </c>
      <c r="I8470" t="s">
        <v>46</v>
      </c>
      <c r="J8470">
        <v>7.5676338999999995E-2</v>
      </c>
      <c r="K8470"/>
      <c r="L8470" s="1">
        <v>190.4846</v>
      </c>
      <c r="M8470">
        <v>4</v>
      </c>
    </row>
    <row r="8471" spans="1:13" x14ac:dyDescent="0.3">
      <c r="A8471" t="s">
        <v>10</v>
      </c>
      <c r="B8471">
        <v>8470</v>
      </c>
      <c r="C8471" t="s">
        <v>1487</v>
      </c>
      <c r="D8471" t="s">
        <v>24</v>
      </c>
      <c r="E8471">
        <v>2018</v>
      </c>
      <c r="F8471" t="s">
        <v>45</v>
      </c>
      <c r="G8471" t="s">
        <v>21</v>
      </c>
      <c r="H8471" t="s">
        <v>15</v>
      </c>
      <c r="I8471" t="s">
        <v>46</v>
      </c>
      <c r="J8471">
        <v>0</v>
      </c>
      <c r="K8471"/>
      <c r="L8471" s="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K8472"/>
      <c r="L8472" s="1">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K8473"/>
      <c r="L8473" s="1">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K8474"/>
      <c r="L8474" s="1">
        <v>163.15260000000001</v>
      </c>
      <c r="M8474">
        <v>4</v>
      </c>
    </row>
    <row r="8475" spans="1:13" x14ac:dyDescent="0.3">
      <c r="A8475" t="s">
        <v>10</v>
      </c>
      <c r="B8475">
        <v>8474</v>
      </c>
      <c r="C8475" t="s">
        <v>340</v>
      </c>
      <c r="D8475" t="s">
        <v>24</v>
      </c>
      <c r="E8475">
        <v>2018</v>
      </c>
      <c r="F8475" t="s">
        <v>45</v>
      </c>
      <c r="G8475" t="s">
        <v>21</v>
      </c>
      <c r="H8475" t="s">
        <v>15</v>
      </c>
      <c r="I8475" t="s">
        <v>46</v>
      </c>
      <c r="J8475">
        <v>0.159081735</v>
      </c>
      <c r="K8475"/>
      <c r="L8475" s="1">
        <v>193.5478</v>
      </c>
      <c r="M8475">
        <v>4</v>
      </c>
    </row>
    <row r="8476" spans="1:13" x14ac:dyDescent="0.3">
      <c r="A8476" t="s">
        <v>10</v>
      </c>
      <c r="B8476">
        <v>8475</v>
      </c>
      <c r="C8476" t="s">
        <v>1157</v>
      </c>
      <c r="D8476" t="s">
        <v>12</v>
      </c>
      <c r="E8476">
        <v>2018</v>
      </c>
      <c r="F8476" t="s">
        <v>45</v>
      </c>
      <c r="G8476" t="s">
        <v>21</v>
      </c>
      <c r="H8476" t="s">
        <v>15</v>
      </c>
      <c r="I8476" t="s">
        <v>46</v>
      </c>
      <c r="J8476">
        <v>3.0794774E-2</v>
      </c>
      <c r="K8476"/>
      <c r="L8476" s="1">
        <v>122.9072</v>
      </c>
      <c r="M8476">
        <v>4</v>
      </c>
    </row>
    <row r="8477" spans="1:13" x14ac:dyDescent="0.3">
      <c r="A8477" t="s">
        <v>10</v>
      </c>
      <c r="B8477">
        <v>8476</v>
      </c>
      <c r="C8477" t="s">
        <v>868</v>
      </c>
      <c r="D8477" t="s">
        <v>12</v>
      </c>
      <c r="E8477">
        <v>2018</v>
      </c>
      <c r="F8477" t="s">
        <v>45</v>
      </c>
      <c r="G8477" t="s">
        <v>21</v>
      </c>
      <c r="H8477" t="s">
        <v>15</v>
      </c>
      <c r="I8477" t="s">
        <v>46</v>
      </c>
      <c r="J8477">
        <v>5.8542509E-2</v>
      </c>
      <c r="K8477"/>
      <c r="L8477" s="1">
        <v>188.35300000000001</v>
      </c>
      <c r="M8477">
        <v>4</v>
      </c>
    </row>
    <row r="8478" spans="1:13" x14ac:dyDescent="0.3">
      <c r="A8478" t="s">
        <v>10</v>
      </c>
      <c r="B8478">
        <v>8477</v>
      </c>
      <c r="C8478" t="s">
        <v>156</v>
      </c>
      <c r="D8478" t="s">
        <v>12</v>
      </c>
      <c r="E8478">
        <v>2018</v>
      </c>
      <c r="F8478" t="s">
        <v>45</v>
      </c>
      <c r="G8478" t="s">
        <v>21</v>
      </c>
      <c r="H8478" t="s">
        <v>15</v>
      </c>
      <c r="I8478" t="s">
        <v>46</v>
      </c>
      <c r="J8478">
        <v>0.118883724</v>
      </c>
      <c r="K8478"/>
      <c r="L8478" s="1">
        <v>180.39760000000001</v>
      </c>
      <c r="M8478">
        <v>4</v>
      </c>
    </row>
    <row r="8479" spans="1:13" x14ac:dyDescent="0.3">
      <c r="A8479" t="s">
        <v>10</v>
      </c>
      <c r="B8479">
        <v>8478</v>
      </c>
      <c r="C8479" t="s">
        <v>808</v>
      </c>
      <c r="D8479" t="s">
        <v>12</v>
      </c>
      <c r="E8479">
        <v>2018</v>
      </c>
      <c r="F8479" t="s">
        <v>45</v>
      </c>
      <c r="G8479" t="s">
        <v>21</v>
      </c>
      <c r="H8479" t="s">
        <v>15</v>
      </c>
      <c r="I8479" t="s">
        <v>46</v>
      </c>
      <c r="J8479">
        <v>4.7704151E-2</v>
      </c>
      <c r="K8479"/>
      <c r="L8479" s="1">
        <v>187.25559999999999</v>
      </c>
      <c r="M8479">
        <v>4</v>
      </c>
    </row>
    <row r="8480" spans="1:13" x14ac:dyDescent="0.3">
      <c r="A8480" t="s">
        <v>10</v>
      </c>
      <c r="B8480">
        <v>8479</v>
      </c>
      <c r="C8480" t="s">
        <v>1536</v>
      </c>
      <c r="D8480" t="s">
        <v>12</v>
      </c>
      <c r="E8480">
        <v>2018</v>
      </c>
      <c r="F8480" t="s">
        <v>45</v>
      </c>
      <c r="G8480" t="s">
        <v>21</v>
      </c>
      <c r="H8480" t="s">
        <v>15</v>
      </c>
      <c r="I8480" t="s">
        <v>46</v>
      </c>
      <c r="J8480">
        <v>0.106538757</v>
      </c>
      <c r="K8480"/>
      <c r="L8480" s="1">
        <v>145.4786</v>
      </c>
      <c r="M8480">
        <v>4</v>
      </c>
    </row>
    <row r="8481" spans="1:13" x14ac:dyDescent="0.3">
      <c r="A8481" t="s">
        <v>10</v>
      </c>
      <c r="B8481">
        <v>8480</v>
      </c>
      <c r="C8481" t="s">
        <v>1027</v>
      </c>
      <c r="D8481" t="s">
        <v>12</v>
      </c>
      <c r="E8481">
        <v>2018</v>
      </c>
      <c r="F8481" t="s">
        <v>45</v>
      </c>
      <c r="G8481" t="s">
        <v>21</v>
      </c>
      <c r="H8481" t="s">
        <v>15</v>
      </c>
      <c r="I8481" t="s">
        <v>46</v>
      </c>
      <c r="J8481">
        <v>4.6382792999999999E-2</v>
      </c>
      <c r="K8481"/>
      <c r="L8481" s="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K8482"/>
      <c r="L8482" s="1">
        <v>115.9834</v>
      </c>
      <c r="M8482">
        <v>4</v>
      </c>
    </row>
    <row r="8483" spans="1:13" x14ac:dyDescent="0.3">
      <c r="A8483" t="s">
        <v>10</v>
      </c>
      <c r="B8483">
        <v>8482</v>
      </c>
      <c r="C8483" t="s">
        <v>774</v>
      </c>
      <c r="D8483" t="s">
        <v>12</v>
      </c>
      <c r="E8483">
        <v>2018</v>
      </c>
      <c r="F8483" t="s">
        <v>45</v>
      </c>
      <c r="G8483" t="s">
        <v>21</v>
      </c>
      <c r="H8483" t="s">
        <v>15</v>
      </c>
      <c r="I8483" t="s">
        <v>46</v>
      </c>
      <c r="J8483">
        <v>0.10242248700000001</v>
      </c>
      <c r="K8483"/>
      <c r="L8483" s="1">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K8484"/>
      <c r="L8484" s="1">
        <v>158.19460000000001</v>
      </c>
      <c r="M8484">
        <v>4</v>
      </c>
    </row>
    <row r="8485" spans="1:13" x14ac:dyDescent="0.3">
      <c r="A8485" t="s">
        <v>10</v>
      </c>
      <c r="B8485">
        <v>8484</v>
      </c>
      <c r="C8485" t="s">
        <v>581</v>
      </c>
      <c r="D8485" t="s">
        <v>12</v>
      </c>
      <c r="E8485">
        <v>2018</v>
      </c>
      <c r="F8485" t="s">
        <v>45</v>
      </c>
      <c r="G8485" t="s">
        <v>21</v>
      </c>
      <c r="H8485" t="s">
        <v>15</v>
      </c>
      <c r="I8485" t="s">
        <v>46</v>
      </c>
      <c r="J8485">
        <v>0.115032648</v>
      </c>
      <c r="K8485"/>
      <c r="L8485" s="1">
        <v>58.0246</v>
      </c>
      <c r="M8485">
        <v>4</v>
      </c>
    </row>
    <row r="8486" spans="1:13" x14ac:dyDescent="0.3">
      <c r="A8486" t="s">
        <v>10</v>
      </c>
      <c r="B8486">
        <v>8485</v>
      </c>
      <c r="C8486" t="s">
        <v>1246</v>
      </c>
      <c r="D8486" t="s">
        <v>12</v>
      </c>
      <c r="E8486">
        <v>2018</v>
      </c>
      <c r="F8486" t="s">
        <v>45</v>
      </c>
      <c r="G8486" t="s">
        <v>21</v>
      </c>
      <c r="H8486" t="s">
        <v>15</v>
      </c>
      <c r="I8486" t="s">
        <v>46</v>
      </c>
      <c r="J8486">
        <v>2.1353641999999999E-2</v>
      </c>
      <c r="K8486"/>
      <c r="L8486" s="1">
        <v>122.10980000000001</v>
      </c>
      <c r="M8486">
        <v>4</v>
      </c>
    </row>
    <row r="8487" spans="1:13" x14ac:dyDescent="0.3">
      <c r="A8487" t="s">
        <v>10</v>
      </c>
      <c r="B8487">
        <v>8486</v>
      </c>
      <c r="C8487" t="s">
        <v>341</v>
      </c>
      <c r="D8487" t="s">
        <v>12</v>
      </c>
      <c r="E8487">
        <v>2018</v>
      </c>
      <c r="F8487" t="s">
        <v>45</v>
      </c>
      <c r="G8487" t="s">
        <v>21</v>
      </c>
      <c r="H8487" t="s">
        <v>15</v>
      </c>
      <c r="I8487" t="s">
        <v>46</v>
      </c>
      <c r="J8487">
        <v>0.141997869</v>
      </c>
      <c r="K8487"/>
      <c r="L8487" s="1">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K8488"/>
      <c r="L8488" s="1">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K8489"/>
      <c r="L8489" s="1">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K8490"/>
      <c r="L8490" s="1">
        <v>141.5838</v>
      </c>
      <c r="M8490">
        <v>4</v>
      </c>
    </row>
    <row r="8491" spans="1:13" x14ac:dyDescent="0.3">
      <c r="A8491" t="s">
        <v>10</v>
      </c>
      <c r="B8491">
        <v>8490</v>
      </c>
      <c r="C8491" t="s">
        <v>1348</v>
      </c>
      <c r="D8491" t="s">
        <v>12</v>
      </c>
      <c r="E8491">
        <v>2018</v>
      </c>
      <c r="F8491" t="s">
        <v>45</v>
      </c>
      <c r="G8491" t="s">
        <v>21</v>
      </c>
      <c r="H8491" t="s">
        <v>15</v>
      </c>
      <c r="I8491" t="s">
        <v>46</v>
      </c>
      <c r="J8491">
        <v>2.4286378000000001E-2</v>
      </c>
      <c r="K8491"/>
      <c r="L8491" s="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K8492"/>
      <c r="L8492" s="1">
        <v>151.8366</v>
      </c>
      <c r="M8492">
        <v>4</v>
      </c>
    </row>
    <row r="8493" spans="1:13" x14ac:dyDescent="0.3">
      <c r="A8493" t="s">
        <v>10</v>
      </c>
      <c r="B8493">
        <v>8492</v>
      </c>
      <c r="C8493" t="s">
        <v>1013</v>
      </c>
      <c r="D8493" t="s">
        <v>54</v>
      </c>
      <c r="E8493">
        <v>2018</v>
      </c>
      <c r="F8493" t="s">
        <v>45</v>
      </c>
      <c r="G8493" t="s">
        <v>21</v>
      </c>
      <c r="H8493" t="s">
        <v>15</v>
      </c>
      <c r="I8493" t="s">
        <v>46</v>
      </c>
      <c r="J8493">
        <v>0.157701958</v>
      </c>
      <c r="K8493"/>
      <c r="L8493" s="1">
        <v>158.7946</v>
      </c>
      <c r="M8493">
        <v>4</v>
      </c>
    </row>
    <row r="8494" spans="1:13" x14ac:dyDescent="0.3">
      <c r="A8494" t="s">
        <v>10</v>
      </c>
      <c r="B8494">
        <v>8493</v>
      </c>
      <c r="C8494" t="s">
        <v>886</v>
      </c>
      <c r="D8494" t="s">
        <v>54</v>
      </c>
      <c r="E8494">
        <v>2018</v>
      </c>
      <c r="F8494" t="s">
        <v>45</v>
      </c>
      <c r="G8494" t="s">
        <v>21</v>
      </c>
      <c r="H8494" t="s">
        <v>15</v>
      </c>
      <c r="I8494" t="s">
        <v>46</v>
      </c>
      <c r="J8494">
        <v>8.5250610000000004E-3</v>
      </c>
      <c r="K8494"/>
      <c r="L8494" s="1">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K8495"/>
      <c r="L8495" s="1">
        <v>46.337600000000002</v>
      </c>
      <c r="M8495">
        <v>4</v>
      </c>
    </row>
    <row r="8496" spans="1:13" x14ac:dyDescent="0.3">
      <c r="A8496" t="s">
        <v>10</v>
      </c>
      <c r="B8496">
        <v>8495</v>
      </c>
      <c r="C8496" t="s">
        <v>1380</v>
      </c>
      <c r="D8496" t="s">
        <v>54</v>
      </c>
      <c r="E8496">
        <v>2018</v>
      </c>
      <c r="F8496" t="s">
        <v>45</v>
      </c>
      <c r="G8496" t="s">
        <v>21</v>
      </c>
      <c r="H8496" t="s">
        <v>15</v>
      </c>
      <c r="I8496" t="s">
        <v>46</v>
      </c>
      <c r="J8496">
        <v>0.150122794</v>
      </c>
      <c r="K8496"/>
      <c r="L8496" s="1">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K8497"/>
      <c r="L8497" s="1">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K8498"/>
      <c r="L8498" s="1">
        <v>111.1202</v>
      </c>
      <c r="M8498">
        <v>4</v>
      </c>
    </row>
    <row r="8499" spans="1:13" x14ac:dyDescent="0.3">
      <c r="A8499" t="s">
        <v>10</v>
      </c>
      <c r="B8499">
        <v>8498</v>
      </c>
      <c r="C8499" t="s">
        <v>715</v>
      </c>
      <c r="D8499" t="s">
        <v>48</v>
      </c>
      <c r="E8499">
        <v>2018</v>
      </c>
      <c r="F8499" t="s">
        <v>45</v>
      </c>
      <c r="G8499" t="s">
        <v>21</v>
      </c>
      <c r="H8499" t="s">
        <v>15</v>
      </c>
      <c r="I8499" t="s">
        <v>46</v>
      </c>
      <c r="J8499">
        <v>4.1180766000000001E-2</v>
      </c>
      <c r="K8499"/>
      <c r="L8499" s="1">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K8500"/>
      <c r="L8500" s="1">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K8501"/>
      <c r="L8501" s="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K8502"/>
      <c r="L8502" s="1">
        <v>102.4016</v>
      </c>
      <c r="M8502">
        <v>4</v>
      </c>
    </row>
    <row r="8503" spans="1:13" x14ac:dyDescent="0.3">
      <c r="A8503" t="s">
        <v>10</v>
      </c>
      <c r="B8503">
        <v>8502</v>
      </c>
      <c r="C8503" t="s">
        <v>458</v>
      </c>
      <c r="D8503" t="s">
        <v>48</v>
      </c>
      <c r="E8503">
        <v>2018</v>
      </c>
      <c r="F8503" t="s">
        <v>45</v>
      </c>
      <c r="G8503" t="s">
        <v>21</v>
      </c>
      <c r="H8503" t="s">
        <v>15</v>
      </c>
      <c r="I8503" t="s">
        <v>46</v>
      </c>
      <c r="J8503">
        <v>4.5542628000000002E-2</v>
      </c>
      <c r="K8503"/>
      <c r="L8503" s="1">
        <v>170.7132</v>
      </c>
      <c r="M8503">
        <v>4</v>
      </c>
    </row>
    <row r="8504" spans="1:13" x14ac:dyDescent="0.3">
      <c r="A8504" t="s">
        <v>10</v>
      </c>
      <c r="B8504">
        <v>8503</v>
      </c>
      <c r="C8504" t="s">
        <v>1098</v>
      </c>
      <c r="D8504" t="s">
        <v>48</v>
      </c>
      <c r="E8504">
        <v>2018</v>
      </c>
      <c r="F8504" t="s">
        <v>45</v>
      </c>
      <c r="G8504" t="s">
        <v>21</v>
      </c>
      <c r="H8504" t="s">
        <v>15</v>
      </c>
      <c r="I8504" t="s">
        <v>46</v>
      </c>
      <c r="J8504">
        <v>2.5616191E-2</v>
      </c>
      <c r="K8504"/>
      <c r="L8504" s="1">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K8505"/>
      <c r="L8505" s="1">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K8506"/>
      <c r="L8506" s="1">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K8507"/>
      <c r="L8507" s="1">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K8508"/>
      <c r="L8508" s="1">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K8509"/>
      <c r="L8509" s="1">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K8510"/>
      <c r="L8510" s="1">
        <v>149.8708</v>
      </c>
      <c r="M8510">
        <v>4</v>
      </c>
    </row>
    <row r="8511" spans="1:13" x14ac:dyDescent="0.3">
      <c r="A8511" t="s">
        <v>10</v>
      </c>
      <c r="B8511">
        <v>8510</v>
      </c>
      <c r="C8511" t="s">
        <v>259</v>
      </c>
      <c r="D8511" t="s">
        <v>48</v>
      </c>
      <c r="E8511">
        <v>2018</v>
      </c>
      <c r="F8511" t="s">
        <v>45</v>
      </c>
      <c r="G8511" t="s">
        <v>21</v>
      </c>
      <c r="H8511" t="s">
        <v>15</v>
      </c>
      <c r="I8511" t="s">
        <v>46</v>
      </c>
      <c r="J8511">
        <v>2.8871234999999999E-2</v>
      </c>
      <c r="K8511"/>
      <c r="L8511" s="1">
        <v>188.78980000000001</v>
      </c>
      <c r="M8511">
        <v>4</v>
      </c>
    </row>
    <row r="8512" spans="1:13" x14ac:dyDescent="0.3">
      <c r="A8512" t="s">
        <v>10</v>
      </c>
      <c r="B8512">
        <v>8511</v>
      </c>
      <c r="C8512" t="s">
        <v>133</v>
      </c>
      <c r="D8512" t="s">
        <v>48</v>
      </c>
      <c r="E8512">
        <v>2018</v>
      </c>
      <c r="F8512" t="s">
        <v>45</v>
      </c>
      <c r="G8512" t="s">
        <v>21</v>
      </c>
      <c r="H8512" t="s">
        <v>15</v>
      </c>
      <c r="I8512" t="s">
        <v>46</v>
      </c>
      <c r="J8512">
        <v>5.7835325E-2</v>
      </c>
      <c r="K8512"/>
      <c r="L8512" s="1">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K8513"/>
      <c r="L8513" s="1">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K8514"/>
      <c r="L8514" s="1">
        <v>159.02619999999999</v>
      </c>
      <c r="M8514">
        <v>4</v>
      </c>
    </row>
    <row r="8515" spans="1:13" x14ac:dyDescent="0.3">
      <c r="A8515" t="s">
        <v>10</v>
      </c>
      <c r="B8515">
        <v>8514</v>
      </c>
      <c r="C8515" t="s">
        <v>1015</v>
      </c>
      <c r="D8515" t="s">
        <v>32</v>
      </c>
      <c r="E8515">
        <v>2018</v>
      </c>
      <c r="F8515" t="s">
        <v>45</v>
      </c>
      <c r="G8515" t="s">
        <v>21</v>
      </c>
      <c r="H8515" t="s">
        <v>15</v>
      </c>
      <c r="I8515" t="s">
        <v>46</v>
      </c>
      <c r="J8515">
        <v>0.108568067</v>
      </c>
      <c r="K8515"/>
      <c r="L8515" s="1">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K8516"/>
      <c r="L8516" s="1">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K8517"/>
      <c r="L8517" s="1">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K8518"/>
      <c r="L8518" s="1">
        <v>78.998599999999996</v>
      </c>
      <c r="M8518">
        <v>4</v>
      </c>
    </row>
    <row r="8519" spans="1:13" x14ac:dyDescent="0.3">
      <c r="A8519" t="s">
        <v>35</v>
      </c>
      <c r="B8519">
        <v>8518</v>
      </c>
      <c r="C8519" t="s">
        <v>1145</v>
      </c>
      <c r="D8519" t="s">
        <v>12</v>
      </c>
      <c r="E8519">
        <v>2018</v>
      </c>
      <c r="F8519" t="s">
        <v>45</v>
      </c>
      <c r="G8519" t="s">
        <v>21</v>
      </c>
      <c r="H8519" t="s">
        <v>15</v>
      </c>
      <c r="I8519" t="s">
        <v>46</v>
      </c>
      <c r="J8519">
        <v>0.17514326</v>
      </c>
      <c r="K8519"/>
      <c r="L8519" s="1">
        <v>222.37719999999999</v>
      </c>
      <c r="M8519">
        <v>4</v>
      </c>
    </row>
    <row r="8520" spans="1:13" x14ac:dyDescent="0.3">
      <c r="A8520" t="s">
        <v>35</v>
      </c>
      <c r="B8520">
        <v>8519</v>
      </c>
      <c r="C8520" t="s">
        <v>237</v>
      </c>
      <c r="D8520" t="s">
        <v>19</v>
      </c>
      <c r="E8520">
        <v>2018</v>
      </c>
      <c r="F8520" t="s">
        <v>45</v>
      </c>
      <c r="G8520" t="s">
        <v>21</v>
      </c>
      <c r="H8520" t="s">
        <v>15</v>
      </c>
      <c r="I8520" t="s">
        <v>46</v>
      </c>
      <c r="J8520">
        <v>0</v>
      </c>
      <c r="K8520"/>
      <c r="L8520" s="1">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K8521"/>
      <c r="L8521" s="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K8522"/>
      <c r="L8522" s="1">
        <v>86.619799999999998</v>
      </c>
      <c r="M8522">
        <v>4</v>
      </c>
    </row>
    <row r="8523" spans="1:13" x14ac:dyDescent="0.3">
      <c r="A8523" t="s">
        <v>10</v>
      </c>
      <c r="B8523">
        <v>8522</v>
      </c>
      <c r="C8523" t="s">
        <v>85</v>
      </c>
      <c r="D8523" t="s">
        <v>67</v>
      </c>
      <c r="E8523">
        <v>2018</v>
      </c>
      <c r="F8523" t="s">
        <v>45</v>
      </c>
      <c r="G8523" t="s">
        <v>21</v>
      </c>
      <c r="H8523" t="s">
        <v>15</v>
      </c>
      <c r="I8523" t="s">
        <v>46</v>
      </c>
      <c r="J8523">
        <v>0.107714834</v>
      </c>
      <c r="K8523"/>
      <c r="L8523" s="1">
        <v>97.875200000000007</v>
      </c>
      <c r="M8523">
        <v>4</v>
      </c>
    </row>
    <row r="8524" spans="1:13" x14ac:dyDescent="0.3">
      <c r="A8524" t="s">
        <v>10</v>
      </c>
      <c r="B8524">
        <v>8523</v>
      </c>
      <c r="C8524" t="s">
        <v>559</v>
      </c>
      <c r="D8524" t="s">
        <v>48</v>
      </c>
      <c r="E8524">
        <v>2018</v>
      </c>
      <c r="F8524" t="s">
        <v>45</v>
      </c>
      <c r="G8524" t="s">
        <v>21</v>
      </c>
      <c r="H8524" t="s">
        <v>15</v>
      </c>
      <c r="I8524" t="s">
        <v>46</v>
      </c>
      <c r="J8524">
        <v>0</v>
      </c>
      <c r="K8524"/>
      <c r="L8524" s="1">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E89E-5015-4C87-B932-96EAF789BB02}">
  <dimension ref="A1:M52"/>
  <sheetViews>
    <sheetView showGridLines="0" zoomScale="99" zoomScaleNormal="99" workbookViewId="0">
      <selection activeCell="F55" sqref="F55"/>
    </sheetView>
  </sheetViews>
  <sheetFormatPr defaultRowHeight="15.6" x14ac:dyDescent="0.3"/>
  <cols>
    <col min="1" max="1" width="19.09765625" bestFit="1" customWidth="1"/>
    <col min="2" max="2" width="11.3984375" bestFit="1" customWidth="1"/>
    <col min="3" max="3" width="15.59765625" bestFit="1" customWidth="1"/>
    <col min="4" max="4" width="15.69921875" bestFit="1" customWidth="1"/>
    <col min="5" max="5" width="12.296875" bestFit="1" customWidth="1"/>
    <col min="6" max="6" width="14" bestFit="1" customWidth="1"/>
    <col min="7" max="7" width="15.59765625" bestFit="1" customWidth="1"/>
    <col min="8" max="8" width="17.296875" bestFit="1" customWidth="1"/>
    <col min="9" max="9" width="11.3984375" bestFit="1" customWidth="1"/>
    <col min="10" max="10" width="15.69921875" bestFit="1" customWidth="1"/>
    <col min="11" max="11" width="14" bestFit="1" customWidth="1"/>
    <col min="12" max="12" width="15.59765625" bestFit="1" customWidth="1"/>
    <col min="13" max="13" width="15.69921875" bestFit="1" customWidth="1"/>
  </cols>
  <sheetData>
    <row r="1" spans="1:13" ht="23.4" customHeight="1" x14ac:dyDescent="0.35">
      <c r="A1" s="55" t="s">
        <v>1618</v>
      </c>
      <c r="B1" s="56"/>
      <c r="C1" s="56"/>
      <c r="D1" s="57"/>
    </row>
    <row r="2" spans="1:13" x14ac:dyDescent="0.3">
      <c r="A2" s="22" t="s">
        <v>1610</v>
      </c>
      <c r="B2" s="23" t="s">
        <v>1615</v>
      </c>
      <c r="C2" s="23" t="s">
        <v>1616</v>
      </c>
      <c r="D2" s="24" t="s">
        <v>1617</v>
      </c>
    </row>
    <row r="3" spans="1:13" x14ac:dyDescent="0.3">
      <c r="A3" s="18">
        <v>1201681.4970000035</v>
      </c>
      <c r="B3" s="19">
        <v>140.99278387891627</v>
      </c>
      <c r="C3" s="20">
        <v>8523</v>
      </c>
      <c r="D3" s="21">
        <v>3.9658570925731196</v>
      </c>
    </row>
    <row r="4" spans="1:13" x14ac:dyDescent="0.3">
      <c r="A4" s="6"/>
      <c r="B4" s="7"/>
      <c r="C4" s="7"/>
      <c r="D4" s="8"/>
    </row>
    <row r="5" spans="1:13" x14ac:dyDescent="0.3">
      <c r="A5" s="10" t="s">
        <v>1610</v>
      </c>
      <c r="B5" s="2" t="s">
        <v>1615</v>
      </c>
      <c r="C5" s="2" t="s">
        <v>1616</v>
      </c>
      <c r="D5" s="11" t="s">
        <v>1617</v>
      </c>
    </row>
    <row r="6" spans="1:13" x14ac:dyDescent="0.3">
      <c r="A6" s="58">
        <f>GETPIVOTDATA("Sum of Sales",$A$2)</f>
        <v>1201681.4970000035</v>
      </c>
      <c r="B6" s="13">
        <f>GETPIVOTDATA("Average Sales",$A$2)</f>
        <v>140.99278387891627</v>
      </c>
      <c r="C6" s="7">
        <f>GETPIVOTDATA("No.of Items",$A$2)</f>
        <v>8523</v>
      </c>
      <c r="D6" s="9">
        <f>GETPIVOTDATA("Average of Rating",$A$2)</f>
        <v>3.9658570925731196</v>
      </c>
    </row>
    <row r="7" spans="1:13" x14ac:dyDescent="0.3">
      <c r="A7" s="14"/>
      <c r="B7" s="15"/>
      <c r="C7" s="15"/>
      <c r="D7" s="16"/>
    </row>
    <row r="10" spans="1:13" ht="22.8" customHeight="1" x14ac:dyDescent="0.35">
      <c r="A10" s="50" t="s">
        <v>1619</v>
      </c>
      <c r="B10" s="51"/>
      <c r="C10" s="52"/>
      <c r="E10" s="50" t="s">
        <v>1620</v>
      </c>
      <c r="F10" s="51"/>
      <c r="G10" s="51"/>
      <c r="H10" s="52"/>
      <c r="J10" s="50" t="s">
        <v>1622</v>
      </c>
      <c r="K10" s="51"/>
      <c r="L10" s="51"/>
      <c r="M10" s="52"/>
    </row>
    <row r="11" spans="1:13" x14ac:dyDescent="0.3">
      <c r="A11" s="26" t="s">
        <v>1612</v>
      </c>
      <c r="B11" s="3" t="s">
        <v>1610</v>
      </c>
      <c r="C11" s="5" t="s">
        <v>1611</v>
      </c>
      <c r="E11" s="26" t="s">
        <v>1612</v>
      </c>
      <c r="F11" s="37" t="s">
        <v>1610</v>
      </c>
      <c r="G11" s="36" t="s">
        <v>1621</v>
      </c>
      <c r="H11" s="35" t="s">
        <v>1617</v>
      </c>
      <c r="J11" s="26" t="s">
        <v>1612</v>
      </c>
      <c r="K11" s="37" t="s">
        <v>1610</v>
      </c>
      <c r="L11" s="36" t="s">
        <v>1621</v>
      </c>
      <c r="M11" s="35" t="s">
        <v>1617</v>
      </c>
    </row>
    <row r="12" spans="1:13" x14ac:dyDescent="0.3">
      <c r="A12" s="44" t="s">
        <v>153</v>
      </c>
      <c r="B12" s="65">
        <v>9077.869999999999</v>
      </c>
      <c r="C12" s="31">
        <v>141.84171874999998</v>
      </c>
      <c r="E12" s="44" t="s">
        <v>39</v>
      </c>
      <c r="F12" s="37">
        <v>78131.566599999976</v>
      </c>
      <c r="G12" s="36">
        <v>140.77759747747743</v>
      </c>
      <c r="H12" s="35">
        <v>3.9771171171171207</v>
      </c>
      <c r="J12" s="44" t="s">
        <v>40</v>
      </c>
      <c r="K12" s="65">
        <v>151939.149</v>
      </c>
      <c r="L12" s="36">
        <v>140.29468975069253</v>
      </c>
      <c r="M12" s="35">
        <v>3.9858725761772842</v>
      </c>
    </row>
    <row r="13" spans="1:13" x14ac:dyDescent="0.3">
      <c r="A13" s="27" t="s">
        <v>74</v>
      </c>
      <c r="B13" s="66">
        <v>15596.696600000001</v>
      </c>
      <c r="C13" s="30">
        <v>141.78815090909092</v>
      </c>
      <c r="E13" s="27" t="s">
        <v>29</v>
      </c>
      <c r="F13" s="12">
        <v>131809.01560000007</v>
      </c>
      <c r="G13" s="38">
        <v>141.42598240343355</v>
      </c>
      <c r="H13" s="9">
        <v>3.9495708154506364</v>
      </c>
      <c r="J13" s="27" t="s">
        <v>16</v>
      </c>
      <c r="K13" s="66">
        <v>787549.89700000128</v>
      </c>
      <c r="L13" s="38">
        <v>141.21389582212683</v>
      </c>
      <c r="M13" s="9">
        <v>3.9632418863188126</v>
      </c>
    </row>
    <row r="14" spans="1:13" x14ac:dyDescent="0.3">
      <c r="A14" s="27" t="s">
        <v>159</v>
      </c>
      <c r="B14" s="66">
        <v>21880.027399999992</v>
      </c>
      <c r="C14" s="30">
        <v>147.83802297297291</v>
      </c>
      <c r="E14" s="27" t="s">
        <v>37</v>
      </c>
      <c r="F14" s="12">
        <v>129103.96039999987</v>
      </c>
      <c r="G14" s="38">
        <v>139.42112354211648</v>
      </c>
      <c r="H14" s="9">
        <v>3.9816414686825015</v>
      </c>
      <c r="J14" s="27" t="s">
        <v>22</v>
      </c>
      <c r="K14" s="66">
        <v>131477.77639999994</v>
      </c>
      <c r="L14" s="38">
        <v>141.67863836206891</v>
      </c>
      <c r="M14" s="9">
        <v>3.9712284482758555</v>
      </c>
    </row>
    <row r="15" spans="1:13" x14ac:dyDescent="0.3">
      <c r="A15" s="27" t="s">
        <v>64</v>
      </c>
      <c r="B15" s="66">
        <v>22451.891599999999</v>
      </c>
      <c r="C15" s="30">
        <v>132.8514295857988</v>
      </c>
      <c r="E15" s="27" t="s">
        <v>20</v>
      </c>
      <c r="F15" s="12">
        <v>131477.77639999994</v>
      </c>
      <c r="G15" s="38">
        <v>141.67863836206891</v>
      </c>
      <c r="H15" s="9">
        <v>3.9712284482758555</v>
      </c>
      <c r="J15" s="27" t="s">
        <v>46</v>
      </c>
      <c r="K15" s="66">
        <v>130714.67460000006</v>
      </c>
      <c r="L15" s="38">
        <v>139.80179101604284</v>
      </c>
      <c r="M15" s="9">
        <v>3.9529411764705853</v>
      </c>
    </row>
    <row r="16" spans="1:13" x14ac:dyDescent="0.3">
      <c r="A16" s="27" t="s">
        <v>61</v>
      </c>
      <c r="B16" s="66">
        <v>29334.680599999996</v>
      </c>
      <c r="C16" s="30">
        <v>137.07794672897194</v>
      </c>
      <c r="E16" s="27" t="s">
        <v>138</v>
      </c>
      <c r="F16" s="12">
        <v>73807.582399999985</v>
      </c>
      <c r="G16" s="38">
        <v>139.78708787878784</v>
      </c>
      <c r="H16" s="9">
        <v>3.9950757575757638</v>
      </c>
      <c r="J16" s="45" t="s">
        <v>1613</v>
      </c>
      <c r="K16" s="59">
        <v>1201681.4970000044</v>
      </c>
      <c r="L16" s="39">
        <v>140.99278387891638</v>
      </c>
      <c r="M16" s="17">
        <v>3.9658570925730068</v>
      </c>
    </row>
    <row r="17" spans="1:13" x14ac:dyDescent="0.3">
      <c r="A17" s="27" t="s">
        <v>57</v>
      </c>
      <c r="B17" s="66">
        <v>35379.119800000015</v>
      </c>
      <c r="C17" s="30">
        <v>140.95266852589648</v>
      </c>
      <c r="E17" s="27" t="s">
        <v>45</v>
      </c>
      <c r="F17" s="12">
        <v>130714.67460000006</v>
      </c>
      <c r="G17" s="38">
        <v>139.80179101604284</v>
      </c>
      <c r="H17" s="9">
        <v>3.9529411764705853</v>
      </c>
    </row>
    <row r="18" spans="1:13" ht="21" x14ac:dyDescent="0.4">
      <c r="A18" s="27" t="s">
        <v>32</v>
      </c>
      <c r="B18" s="66">
        <v>58514.166999999987</v>
      </c>
      <c r="C18" s="30">
        <v>131.49251011235953</v>
      </c>
      <c r="E18" s="27" t="s">
        <v>50</v>
      </c>
      <c r="F18" s="12">
        <v>133103.90979999988</v>
      </c>
      <c r="G18" s="38">
        <v>143.12248365591384</v>
      </c>
      <c r="H18" s="9">
        <v>3.9445161290322521</v>
      </c>
      <c r="J18" s="47" t="s">
        <v>1623</v>
      </c>
      <c r="K18" s="48"/>
      <c r="L18" s="49"/>
    </row>
    <row r="19" spans="1:13" x14ac:dyDescent="0.3">
      <c r="A19" s="27" t="s">
        <v>54</v>
      </c>
      <c r="B19" s="66">
        <v>59449.863799999992</v>
      </c>
      <c r="C19" s="30">
        <v>139.88203247058823</v>
      </c>
      <c r="E19" s="27" t="s">
        <v>33</v>
      </c>
      <c r="F19" s="12">
        <v>130942.78019999999</v>
      </c>
      <c r="G19" s="38">
        <v>140.95024779332616</v>
      </c>
      <c r="H19" s="9">
        <v>3.9599569429494066</v>
      </c>
      <c r="J19" s="26" t="s">
        <v>1612</v>
      </c>
      <c r="K19" s="5" t="s">
        <v>1610</v>
      </c>
    </row>
    <row r="20" spans="1:13" x14ac:dyDescent="0.3">
      <c r="A20" s="27" t="s">
        <v>19</v>
      </c>
      <c r="B20" s="66">
        <v>68025.838800000012</v>
      </c>
      <c r="C20" s="30">
        <v>130.8189207692308</v>
      </c>
      <c r="E20" s="27" t="s">
        <v>25</v>
      </c>
      <c r="F20" s="12">
        <v>132113.36980000007</v>
      </c>
      <c r="G20" s="38">
        <v>142.0573868817205</v>
      </c>
      <c r="H20" s="9">
        <v>3.9583870967741879</v>
      </c>
      <c r="J20" s="44" t="s">
        <v>14</v>
      </c>
      <c r="K20" s="62">
        <v>336397.8134000001</v>
      </c>
    </row>
    <row r="21" spans="1:13" x14ac:dyDescent="0.3">
      <c r="A21" s="27" t="s">
        <v>95</v>
      </c>
      <c r="B21" s="66">
        <v>81894.736400000009</v>
      </c>
      <c r="C21" s="30">
        <v>126.38076604938273</v>
      </c>
      <c r="E21" s="27" t="s">
        <v>13</v>
      </c>
      <c r="F21" s="12">
        <v>130476.86119999997</v>
      </c>
      <c r="G21" s="38">
        <v>140.29770021505374</v>
      </c>
      <c r="H21" s="9">
        <v>3.9854838709677347</v>
      </c>
      <c r="J21" s="40" t="s">
        <v>17</v>
      </c>
      <c r="K21" s="63">
        <v>215047.9126000001</v>
      </c>
    </row>
    <row r="22" spans="1:13" x14ac:dyDescent="0.3">
      <c r="A22" s="27" t="s">
        <v>28</v>
      </c>
      <c r="B22" s="66">
        <v>90706.728999999992</v>
      </c>
      <c r="C22" s="30">
        <v>139.7638351309707</v>
      </c>
      <c r="E22" s="45" t="s">
        <v>1613</v>
      </c>
      <c r="F22" s="32">
        <v>1201681.4970000016</v>
      </c>
      <c r="G22" s="39">
        <v>140.99278387891607</v>
      </c>
      <c r="H22" s="17">
        <v>3.965857092573017</v>
      </c>
      <c r="J22" s="40" t="s">
        <v>10</v>
      </c>
      <c r="K22" s="63">
        <v>121349.90080000002</v>
      </c>
    </row>
    <row r="23" spans="1:13" x14ac:dyDescent="0.3">
      <c r="A23" s="27" t="s">
        <v>67</v>
      </c>
      <c r="B23" s="66">
        <v>101276.46159999995</v>
      </c>
      <c r="C23" s="30">
        <v>148.49921055718468</v>
      </c>
      <c r="J23" s="44" t="s">
        <v>34</v>
      </c>
      <c r="K23" s="63">
        <v>393150.65040000004</v>
      </c>
    </row>
    <row r="24" spans="1:13" ht="20.399999999999999" x14ac:dyDescent="0.35">
      <c r="A24" s="27" t="s">
        <v>24</v>
      </c>
      <c r="B24" s="66">
        <v>118558.88140000009</v>
      </c>
      <c r="C24" s="30">
        <v>138.50336612149542</v>
      </c>
      <c r="E24" s="50" t="s">
        <v>1624</v>
      </c>
      <c r="F24" s="51"/>
      <c r="G24" s="52"/>
      <c r="J24" s="40" t="s">
        <v>17</v>
      </c>
      <c r="K24" s="63">
        <v>254464.77940000014</v>
      </c>
    </row>
    <row r="25" spans="1:13" x14ac:dyDescent="0.3">
      <c r="A25" s="27" t="s">
        <v>42</v>
      </c>
      <c r="B25" s="66">
        <v>135976.52539999998</v>
      </c>
      <c r="C25" s="30">
        <v>149.42475318681318</v>
      </c>
      <c r="E25" s="26" t="s">
        <v>1612</v>
      </c>
      <c r="F25" s="37" t="s">
        <v>1610</v>
      </c>
      <c r="G25" s="42" t="s">
        <v>1621</v>
      </c>
      <c r="J25" s="40" t="s">
        <v>10</v>
      </c>
      <c r="K25" s="63">
        <v>138685.87099999993</v>
      </c>
    </row>
    <row r="26" spans="1:13" x14ac:dyDescent="0.3">
      <c r="A26" s="27" t="s">
        <v>48</v>
      </c>
      <c r="B26" s="66">
        <v>175433.92240000021</v>
      </c>
      <c r="C26" s="30">
        <v>146.19493533333352</v>
      </c>
      <c r="E26" s="44" t="s">
        <v>17</v>
      </c>
      <c r="F26" s="37">
        <v>776319.68840000057</v>
      </c>
      <c r="G26" s="42">
        <v>140.71409976436479</v>
      </c>
      <c r="H26" s="53"/>
      <c r="J26" s="44" t="s">
        <v>21</v>
      </c>
      <c r="K26" s="63">
        <v>472133.03320000012</v>
      </c>
    </row>
    <row r="27" spans="1:13" x14ac:dyDescent="0.3">
      <c r="A27" s="27" t="s">
        <v>12</v>
      </c>
      <c r="B27" s="66">
        <v>178124.08519999994</v>
      </c>
      <c r="C27" s="30">
        <v>144.58123798701294</v>
      </c>
      <c r="E27" s="27" t="s">
        <v>10</v>
      </c>
      <c r="F27" s="12">
        <v>425361.80859999952</v>
      </c>
      <c r="G27" s="41">
        <v>141.50426101131055</v>
      </c>
      <c r="H27" s="53"/>
      <c r="J27" s="40" t="s">
        <v>17</v>
      </c>
      <c r="K27" s="63">
        <v>306806.99640000012</v>
      </c>
    </row>
    <row r="28" spans="1:13" x14ac:dyDescent="0.3">
      <c r="A28" s="45" t="s">
        <v>1613</v>
      </c>
      <c r="B28" s="67">
        <v>1201681.4970000032</v>
      </c>
      <c r="C28" s="34">
        <v>140.99278387891624</v>
      </c>
      <c r="E28" s="45" t="s">
        <v>1613</v>
      </c>
      <c r="F28" s="32">
        <v>1201681.4970000023</v>
      </c>
      <c r="G28" s="33">
        <v>140.99278387891616</v>
      </c>
      <c r="J28" s="40" t="s">
        <v>10</v>
      </c>
      <c r="K28" s="63">
        <v>165326.0368</v>
      </c>
    </row>
    <row r="29" spans="1:13" x14ac:dyDescent="0.3">
      <c r="J29" s="45" t="s">
        <v>1613</v>
      </c>
      <c r="K29" s="43">
        <v>1201681.4970000004</v>
      </c>
    </row>
    <row r="32" spans="1:13" ht="21" x14ac:dyDescent="0.4">
      <c r="A32" s="50" t="s">
        <v>1625</v>
      </c>
      <c r="B32" s="51"/>
      <c r="C32" s="51"/>
      <c r="D32" s="51"/>
      <c r="E32" s="51"/>
      <c r="F32" s="52"/>
      <c r="H32" s="47" t="s">
        <v>1627</v>
      </c>
      <c r="I32" s="54"/>
      <c r="J32" s="68"/>
      <c r="L32" s="46" t="s">
        <v>1628</v>
      </c>
      <c r="M32" s="70"/>
    </row>
    <row r="33" spans="1:13" x14ac:dyDescent="0.3">
      <c r="A33" s="26" t="s">
        <v>1610</v>
      </c>
      <c r="B33" s="26" t="s">
        <v>1626</v>
      </c>
      <c r="C33" s="3"/>
      <c r="D33" s="4"/>
      <c r="E33" s="4"/>
      <c r="F33" s="5"/>
      <c r="H33" s="28" t="s">
        <v>1612</v>
      </c>
      <c r="I33" s="61" t="s">
        <v>1610</v>
      </c>
      <c r="J33" s="8"/>
      <c r="L33" s="28" t="s">
        <v>1612</v>
      </c>
      <c r="M33" s="69" t="s">
        <v>1610</v>
      </c>
    </row>
    <row r="34" spans="1:13" x14ac:dyDescent="0.3">
      <c r="A34" s="26" t="s">
        <v>1612</v>
      </c>
      <c r="B34" s="3" t="s">
        <v>40</v>
      </c>
      <c r="C34" s="4" t="s">
        <v>16</v>
      </c>
      <c r="D34" s="4" t="s">
        <v>22</v>
      </c>
      <c r="E34" s="5" t="s">
        <v>46</v>
      </c>
      <c r="F34" s="25" t="s">
        <v>1613</v>
      </c>
      <c r="H34" s="29">
        <v>2011</v>
      </c>
      <c r="I34" s="62">
        <v>78131.566599999976</v>
      </c>
      <c r="J34" s="8"/>
      <c r="L34" s="29" t="s">
        <v>30</v>
      </c>
      <c r="M34" s="62">
        <v>248991.58600000024</v>
      </c>
    </row>
    <row r="35" spans="1:13" x14ac:dyDescent="0.3">
      <c r="A35" s="44" t="s">
        <v>95</v>
      </c>
      <c r="B35" s="37">
        <v>10747.235800000002</v>
      </c>
      <c r="C35" s="36">
        <v>53665.461400000044</v>
      </c>
      <c r="D35" s="36">
        <v>8594.2014000000054</v>
      </c>
      <c r="E35" s="36">
        <v>8887.8377999999975</v>
      </c>
      <c r="F35" s="42">
        <v>81894.736400000038</v>
      </c>
      <c r="H35" s="29">
        <v>2012</v>
      </c>
      <c r="I35" s="63">
        <v>130476.86119999997</v>
      </c>
      <c r="J35" s="8"/>
      <c r="L35" s="29" t="s">
        <v>15</v>
      </c>
      <c r="M35" s="63">
        <v>507895.7377999993</v>
      </c>
    </row>
    <row r="36" spans="1:13" x14ac:dyDescent="0.3">
      <c r="A36" s="27" t="s">
        <v>57</v>
      </c>
      <c r="B36" s="12">
        <v>4832.9447999999984</v>
      </c>
      <c r="C36" s="38">
        <v>22490.808400000005</v>
      </c>
      <c r="D36" s="38">
        <v>3539.4032000000007</v>
      </c>
      <c r="E36" s="38">
        <v>4515.9633999999996</v>
      </c>
      <c r="F36" s="41">
        <v>35379.1198</v>
      </c>
      <c r="H36" s="29">
        <v>2014</v>
      </c>
      <c r="I36" s="63">
        <v>131809.01560000007</v>
      </c>
      <c r="J36" s="8"/>
      <c r="L36" s="29" t="s">
        <v>26</v>
      </c>
      <c r="M36" s="63">
        <v>444794.17319999932</v>
      </c>
    </row>
    <row r="37" spans="1:13" x14ac:dyDescent="0.3">
      <c r="A37" s="27" t="s">
        <v>74</v>
      </c>
      <c r="B37" s="12">
        <v>2793.5128</v>
      </c>
      <c r="C37" s="38">
        <v>9632.6468000000023</v>
      </c>
      <c r="D37" s="38">
        <v>1552.614</v>
      </c>
      <c r="E37" s="38">
        <v>1617.923</v>
      </c>
      <c r="F37" s="41">
        <v>15596.696600000003</v>
      </c>
      <c r="H37" s="29">
        <v>2015</v>
      </c>
      <c r="I37" s="63">
        <v>130942.78019999999</v>
      </c>
      <c r="J37" s="8"/>
      <c r="L37" s="45" t="s">
        <v>1613</v>
      </c>
      <c r="M37" s="64">
        <v>1201681.4969999988</v>
      </c>
    </row>
    <row r="38" spans="1:13" x14ac:dyDescent="0.3">
      <c r="A38" s="27" t="s">
        <v>28</v>
      </c>
      <c r="B38" s="12">
        <v>10079.898999999996</v>
      </c>
      <c r="C38" s="38">
        <v>59649.309400000006</v>
      </c>
      <c r="D38" s="38">
        <v>10852.470999999998</v>
      </c>
      <c r="E38" s="38">
        <v>10125.049599999998</v>
      </c>
      <c r="F38" s="41">
        <v>90706.728999999992</v>
      </c>
      <c r="H38" s="29">
        <v>2016</v>
      </c>
      <c r="I38" s="63">
        <v>132113.36980000007</v>
      </c>
      <c r="J38" s="8"/>
    </row>
    <row r="39" spans="1:13" x14ac:dyDescent="0.3">
      <c r="A39" s="27" t="s">
        <v>67</v>
      </c>
      <c r="B39" s="12">
        <v>13539.3398</v>
      </c>
      <c r="C39" s="38">
        <v>67179.694000000047</v>
      </c>
      <c r="D39" s="38">
        <v>10638.944599999999</v>
      </c>
      <c r="E39" s="38">
        <v>9918.4832000000006</v>
      </c>
      <c r="F39" s="41">
        <v>101276.46160000005</v>
      </c>
      <c r="H39" s="29">
        <v>2017</v>
      </c>
      <c r="I39" s="63">
        <v>133103.90979999988</v>
      </c>
      <c r="J39" s="8"/>
    </row>
    <row r="40" spans="1:13" x14ac:dyDescent="0.3">
      <c r="A40" s="27" t="s">
        <v>24</v>
      </c>
      <c r="B40" s="12">
        <v>13750.440999999999</v>
      </c>
      <c r="C40" s="38">
        <v>79348.376999999993</v>
      </c>
      <c r="D40" s="38">
        <v>13253.717400000005</v>
      </c>
      <c r="E40" s="38">
        <v>12206.346</v>
      </c>
      <c r="F40" s="41">
        <v>118558.88140000001</v>
      </c>
      <c r="H40" s="29">
        <v>2018</v>
      </c>
      <c r="I40" s="63">
        <v>204522.25700000025</v>
      </c>
      <c r="J40" s="8"/>
    </row>
    <row r="41" spans="1:13" x14ac:dyDescent="0.3">
      <c r="A41" s="27" t="s">
        <v>12</v>
      </c>
      <c r="B41" s="12">
        <v>21423.414599999993</v>
      </c>
      <c r="C41" s="38">
        <v>117431.99219999992</v>
      </c>
      <c r="D41" s="38">
        <v>18967.291800000003</v>
      </c>
      <c r="E41" s="38">
        <v>20301.386599999998</v>
      </c>
      <c r="F41" s="41">
        <v>178124.08519999991</v>
      </c>
      <c r="H41" s="29">
        <v>2020</v>
      </c>
      <c r="I41" s="63">
        <v>129103.96039999987</v>
      </c>
      <c r="J41" s="8"/>
    </row>
    <row r="42" spans="1:13" x14ac:dyDescent="0.3">
      <c r="A42" s="27" t="s">
        <v>61</v>
      </c>
      <c r="B42" s="12">
        <v>2812.5444000000002</v>
      </c>
      <c r="C42" s="38">
        <v>19610.756599999993</v>
      </c>
      <c r="D42" s="38">
        <v>3609.1193999999996</v>
      </c>
      <c r="E42" s="38">
        <v>3302.2601999999997</v>
      </c>
      <c r="F42" s="41">
        <v>29334.680599999992</v>
      </c>
      <c r="H42" s="29">
        <v>2022</v>
      </c>
      <c r="I42" s="63">
        <v>131477.77639999994</v>
      </c>
      <c r="J42" s="8"/>
    </row>
    <row r="43" spans="1:13" x14ac:dyDescent="0.3">
      <c r="A43" s="27" t="s">
        <v>19</v>
      </c>
      <c r="B43" s="12">
        <v>8964.0234</v>
      </c>
      <c r="C43" s="38">
        <v>44050.746600000028</v>
      </c>
      <c r="D43" s="38">
        <v>7339.9237999999987</v>
      </c>
      <c r="E43" s="38">
        <v>7671.1450000000004</v>
      </c>
      <c r="F43" s="41">
        <v>68025.838800000027</v>
      </c>
      <c r="H43" s="45" t="s">
        <v>1613</v>
      </c>
      <c r="I43" s="64">
        <v>1201681.497</v>
      </c>
      <c r="J43" s="16"/>
    </row>
    <row r="44" spans="1:13" x14ac:dyDescent="0.3">
      <c r="A44" s="27" t="s">
        <v>42</v>
      </c>
      <c r="B44" s="12">
        <v>18082.109400000005</v>
      </c>
      <c r="C44" s="38">
        <v>89143.409200000038</v>
      </c>
      <c r="D44" s="38">
        <v>14244.648599999997</v>
      </c>
      <c r="E44" s="38">
        <v>14506.358199999997</v>
      </c>
      <c r="F44" s="41">
        <v>135976.52540000004</v>
      </c>
    </row>
    <row r="45" spans="1:13" x14ac:dyDescent="0.3">
      <c r="A45" s="27" t="s">
        <v>54</v>
      </c>
      <c r="B45" s="12">
        <v>9081.0488000000005</v>
      </c>
      <c r="C45" s="38">
        <v>36169.758599999994</v>
      </c>
      <c r="D45" s="38">
        <v>6365.9349999999995</v>
      </c>
      <c r="E45" s="38">
        <v>7833.1214000000027</v>
      </c>
      <c r="F45" s="41">
        <v>59449.863799999992</v>
      </c>
    </row>
    <row r="46" spans="1:13" ht="20.399999999999999" x14ac:dyDescent="0.35">
      <c r="A46" s="27" t="s">
        <v>64</v>
      </c>
      <c r="B46" s="12">
        <v>3467.2652000000007</v>
      </c>
      <c r="C46" s="38">
        <v>14826.673800000006</v>
      </c>
      <c r="D46" s="38">
        <v>2556.2668000000003</v>
      </c>
      <c r="E46" s="38">
        <v>1601.6858</v>
      </c>
      <c r="F46" s="41">
        <v>22451.891600000006</v>
      </c>
      <c r="G46" s="72"/>
      <c r="H46" s="74" t="s">
        <v>1629</v>
      </c>
      <c r="I46" s="73"/>
      <c r="J46" s="71"/>
      <c r="K46" s="71"/>
    </row>
    <row r="47" spans="1:13" x14ac:dyDescent="0.3">
      <c r="A47" s="27" t="s">
        <v>153</v>
      </c>
      <c r="B47" s="12">
        <v>1438.1622</v>
      </c>
      <c r="C47" s="38">
        <v>5681.5241999999998</v>
      </c>
      <c r="D47" s="38">
        <v>1089.9856</v>
      </c>
      <c r="E47" s="38">
        <v>868.19799999999998</v>
      </c>
      <c r="F47" s="41">
        <v>9077.869999999999</v>
      </c>
      <c r="H47" s="26" t="s">
        <v>1612</v>
      </c>
      <c r="I47" s="5" t="s">
        <v>1610</v>
      </c>
    </row>
    <row r="48" spans="1:13" x14ac:dyDescent="0.3">
      <c r="A48" s="27" t="s">
        <v>48</v>
      </c>
      <c r="B48" s="12">
        <v>21327.840199999991</v>
      </c>
      <c r="C48" s="38">
        <v>114296.13219999996</v>
      </c>
      <c r="D48" s="38">
        <v>20003.242400000006</v>
      </c>
      <c r="E48" s="38">
        <v>19806.707599999998</v>
      </c>
      <c r="F48" s="41">
        <v>175433.92239999998</v>
      </c>
      <c r="H48" s="44" t="s">
        <v>46</v>
      </c>
      <c r="I48" s="62">
        <v>130714.67460000006</v>
      </c>
    </row>
    <row r="49" spans="1:9" x14ac:dyDescent="0.3">
      <c r="A49" s="27" t="s">
        <v>32</v>
      </c>
      <c r="B49" s="12">
        <v>7673.3688000000002</v>
      </c>
      <c r="C49" s="38">
        <v>39002.053</v>
      </c>
      <c r="D49" s="38">
        <v>6289.6337999999996</v>
      </c>
      <c r="E49" s="38">
        <v>5549.1113999999998</v>
      </c>
      <c r="F49" s="41">
        <v>58514.166999999994</v>
      </c>
      <c r="H49" s="27" t="s">
        <v>22</v>
      </c>
      <c r="I49" s="63">
        <v>131477.77639999994</v>
      </c>
    </row>
    <row r="50" spans="1:9" x14ac:dyDescent="0.3">
      <c r="A50" s="27" t="s">
        <v>159</v>
      </c>
      <c r="B50" s="12">
        <v>1925.9988000000001</v>
      </c>
      <c r="C50" s="38">
        <v>15370.553599999994</v>
      </c>
      <c r="D50" s="38">
        <v>2580.3775999999998</v>
      </c>
      <c r="E50" s="38">
        <v>2003.0974000000001</v>
      </c>
      <c r="F50" s="41">
        <v>21880.027399999992</v>
      </c>
      <c r="H50" s="27" t="s">
        <v>40</v>
      </c>
      <c r="I50" s="63">
        <v>151939.149</v>
      </c>
    </row>
    <row r="51" spans="1:9" x14ac:dyDescent="0.3">
      <c r="A51" s="45" t="s">
        <v>1613</v>
      </c>
      <c r="B51" s="32">
        <v>151939.14899999998</v>
      </c>
      <c r="C51" s="39">
        <v>787549.89699999988</v>
      </c>
      <c r="D51" s="39">
        <v>131477.7764</v>
      </c>
      <c r="E51" s="39">
        <v>130714.67460000001</v>
      </c>
      <c r="F51" s="33">
        <v>1201681.4969999997</v>
      </c>
      <c r="H51" s="27" t="s">
        <v>16</v>
      </c>
      <c r="I51" s="63">
        <v>787549.89700000128</v>
      </c>
    </row>
    <row r="52" spans="1:9" x14ac:dyDescent="0.3">
      <c r="H52" s="45" t="s">
        <v>1613</v>
      </c>
      <c r="I52" s="60">
        <v>1201681.4970000011</v>
      </c>
    </row>
  </sheetData>
  <mergeCells count="9">
    <mergeCell ref="A1:D1"/>
    <mergeCell ref="H32:J32"/>
    <mergeCell ref="L32:M32"/>
    <mergeCell ref="A10:C10"/>
    <mergeCell ref="J18:L18"/>
    <mergeCell ref="J10:M10"/>
    <mergeCell ref="A32:F32"/>
    <mergeCell ref="E24:G24"/>
    <mergeCell ref="E10:H1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EB0F-B1E9-4D0E-8613-2A3A23E1FBAA}">
  <sheetPr>
    <pageSetUpPr autoPageBreaks="0"/>
  </sheetPr>
  <dimension ref="A1"/>
  <sheetViews>
    <sheetView showGridLines="0" zoomScale="65" zoomScaleNormal="65" workbookViewId="0">
      <selection activeCell="AG40" sqref="AG40"/>
    </sheetView>
  </sheetViews>
  <sheetFormatPr defaultRowHeight="15.6" x14ac:dyDescent="0.3"/>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Processed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RAMANA R S</cp:lastModifiedBy>
  <dcterms:created xsi:type="dcterms:W3CDTF">2024-06-23T13:11:17Z</dcterms:created>
  <dcterms:modified xsi:type="dcterms:W3CDTF">2026-09-17T21:33:19Z</dcterms:modified>
</cp:coreProperties>
</file>